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kcja" sheetId="1" state="visible" r:id="rId3"/>
    <sheet name="Przegląd specyfikacji" sheetId="2" state="visible" r:id="rId4"/>
    <sheet name="Warunki testowe" sheetId="3" state="visible" r:id="rId5"/>
    <sheet name="Przypadki testowe" sheetId="4" state="visible" r:id="rId6"/>
    <sheet name="Macierz śledzenia" sheetId="5" state="visible" r:id="rId7"/>
    <sheet name="Sesja eksploracyjna" sheetId="6" state="visible" r:id="rId8"/>
    <sheet name="Raporty defektów" sheetId="7" state="visible" r:id="rId9"/>
    <sheet name="Lista kontrolna" sheetId="8" state="visible" r:id="rId10"/>
    <sheet name="Raport z wykonania" sheetId="9" state="visible" r:id="rId11"/>
  </sheets>
  <definedNames>
    <definedName function="false" hidden="false" localSheetId="7" name="_xlnm.Print_Titles" vbProcedure="false">'Lista kontrolna'!$1:$1</definedName>
    <definedName function="false" hidden="true" localSheetId="7" name="_xlnm._FilterDatabase" vbProcedure="false">'Lista kontrolna'!$A$1:$F$1</definedName>
    <definedName function="false" hidden="false" localSheetId="4" name="_xlnm.Print_Titles" vbProcedure="false">'Macierz śledzenia'!$1:$1</definedName>
    <definedName function="false" hidden="true" localSheetId="4" name="_xlnm._FilterDatabase" vbProcedure="false">'Macierz śledzenia'!$A$1:$I$1</definedName>
    <definedName function="false" hidden="true" localSheetId="1" name="_xlnm._FilterDatabase" vbProcedure="false">'Przegląd specyfikacji'!$A$1:$E$1</definedName>
    <definedName function="false" hidden="false" localSheetId="3" name="_xlnm.Print_Titles" vbProcedure="false">'Przypadki testowe'!$1:$1</definedName>
    <definedName function="false" hidden="true" localSheetId="3" name="_xlnm._FilterDatabase" vbProcedure="false">'Przypadki testowe'!$A$1:$O$1</definedName>
    <definedName function="false" hidden="false" localSheetId="8" name="_xlnm.Print_Titles" vbProcedure="false">'Raport z wykonania'!$1:$1</definedName>
    <definedName function="false" hidden="true" localSheetId="8" name="_xlnm._FilterDatabase" vbProcedure="false">'Raport z wykonania'!$A$1:$C$1</definedName>
    <definedName function="false" hidden="false" localSheetId="6" name="_xlnm.Print_Titles" vbProcedure="false">'Raporty defektów'!$1:$1</definedName>
    <definedName function="false" hidden="true" localSheetId="6" name="_xlnm._FilterDatabase" vbProcedure="false">'Raporty defektów'!$A$1:$Q$1</definedName>
    <definedName function="false" hidden="true" localSheetId="2" name="_xlnm._FilterDatabase" vbProcedure="false">'Warunki testowe'!$A$1:$E$1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<sst xmlns="http://schemas.openxmlformats.org/spreadsheetml/2006/main" count="944" uniqueCount="493">
  <si>
    <t xml:space="preserve">Szablon dokumentacji testowej</t>
  </si>
  <si>
    <t xml:space="preserve">Testowanie oprogramowania – ćwiczenia 1 (na podstawie ISO/IEC/IEEE 29119-3 i sylabusa ISTQB CTFL 4.0)</t>
  </si>
  <si>
    <t xml:space="preserve">Autor (imię, nazwisko, nr albumu)</t>
  </si>
  <si>
    <t xml:space="preserve">Jan Kowalski (wzorzec)</t>
  </si>
  <si>
    <t xml:space="preserve">Grupa / data</t>
  </si>
  <si>
    <t xml:space="preserve">Grupa 1 / 2026-10-13</t>
  </si>
  <si>
    <t xml:space="preserve">Przedmiot testów</t>
  </si>
  <si>
    <t xml:space="preserve">KinoTO 1.0 – formularz zakupu biletów (specyfikacja: specyfikacja_KinoTO.md; obiekt do wykonywania testów: Symulator_KinoTO.xlsx)</t>
  </si>
  <si>
    <t xml:space="preserve">ARKUSZE</t>
  </si>
  <si>
    <t xml:space="preserve">Przegląd specyfikacji</t>
  </si>
  <si>
    <t xml:space="preserve">Wynik testowania statycznego: jeden wiersz = jeden problem w specyfikacji (z ID wymagania, rodzajem problemu i pytaniem do autora).</t>
  </si>
  <si>
    <t xml:space="preserve">Warunki testowe</t>
  </si>
  <si>
    <t xml:space="preserve">Wynik analizy: CO testujemy. ID w formacie WT-&lt;obszar&gt;-&lt;nr&gt;, np. WT-FRM-01; podaj wymaganie i priorytet.</t>
  </si>
  <si>
    <t xml:space="preserve">Przypadki testowe</t>
  </si>
  <si>
    <t xml:space="preserve">Specyfikacja przypadków testowych: jeden wiersz = jeden przypadek. ID w formacie TC-&lt;obszar&gt;-&lt;nr&gt;, np. TC-FRM-001. Kolumnę „Wymaganie” wypełnij identyfikatorami REQ-… (kilka – po przecinku).</t>
  </si>
  <si>
    <t xml:space="preserve">Macierz śledzenia</t>
  </si>
  <si>
    <t xml:space="preserve">Jeden wiersz = jedno wymaganie (ID i skrót są już wpisane). Uzupełnij priorytet i ID przypadków. Kolumny „Liczba przypadków”, „Zaliczone”, „Niezaliczone” i „Pokrycie” liczą się same.</t>
  </si>
  <si>
    <t xml:space="preserve">Sesja eksploracyjna</t>
  </si>
  <si>
    <t xml:space="preserve">Karta sesji (cel, czas) i notatki z sesji: co sprawdzono, co zaobserwowano, ocena obserwacji.</t>
  </si>
  <si>
    <t xml:space="preserve">Raporty defektów</t>
  </si>
  <si>
    <t xml:space="preserve">Jeden wiersz = jeden raport o defekcie (ID: DEF-&lt;nr&gt;). Kroki muszą pozwolić odtworzyć awarię innej osobie. Zrzut ekranu (opcjonalnie): Win+Shift+S, zapisz jako DEF-&lt;nr&gt;.png.</t>
  </si>
  <si>
    <t xml:space="preserve">Lista kontrolna</t>
  </si>
  <si>
    <t xml:space="preserve">Pozycje formułuj jako pytania, na które odpowiedź „Tak” oznacza stan poprawny. Wynik „Nie” → wpisz dowód i (jeśli to defekt) ID raportu.</t>
  </si>
  <si>
    <t xml:space="preserve">Raport z wykonania</t>
  </si>
  <si>
    <t xml:space="preserve">Podsumowanie testów. Liczby w kolumnie „Wartość” wyliczają się automatycznie – uzupełnij pola opisowe.</t>
  </si>
  <si>
    <t xml:space="preserve">STATUS PRZYPADKU</t>
  </si>
  <si>
    <t xml:space="preserve">Nie wykonano – jeszcze nie uruchomiony; Zaliczony – rzeczywisty rezultat = oczekiwany; Niezaliczony – rozbieżność (wpisz ID defektu); Zablokowany – nie da się wykonać (np. brak środowiska, inny defekt); Pominięty – świadomie nie wykonano (podaj powód w uwagach).</t>
  </si>
  <si>
    <t xml:space="preserve">WAŻNOŚĆ (severity)</t>
  </si>
  <si>
    <t xml:space="preserve">Wpływ defektu na system/użytkownika: Krytyczna – awaria uniemożliwia korzystanie z kluczowej funkcji, utrata danych, bezpieczeństwo; Wysoka – ważna funkcja działa błędnie, brak obejścia; Średnia – błąd z obejściem lub w mniej ważnej funkcji; Niska – kosmetyka, literówki, drobne niedogodności.</t>
  </si>
  <si>
    <t xml:space="preserve">PRIORYTET (priority)</t>
  </si>
  <si>
    <t xml:space="preserve">Pilność naprawy z punktu widzenia biznesu: Wysoki – naprawić natychmiast / przed wydaniem; Średni – w najbliższym cyklu; Niski – gdy będzie czas. Ważność i priorytet to dwie różne oceny (np. literówka w nazwie firmy na stronie głównej: niska ważność, wysoki priorytet).</t>
  </si>
  <si>
    <t xml:space="preserve">CYKL ŻYCIA DEFEKTU</t>
  </si>
  <si>
    <t xml:space="preserve">Nowy → Otwarty → W naprawie → Naprawiony → Do retestu → Zamknięty; ewentualnie Odrzucony (to nie defekt / nie do odtworzenia), Odroczony (naprawa później), Ponownie otwarty (retest nieudany).</t>
  </si>
  <si>
    <t xml:space="preserve">TECHNIKA</t>
  </si>
  <si>
    <t xml:space="preserve">EP – podział na klasy równoważności; AWB – analiza wartości brzegowych; Doświadczenie – zgadywanie błędów, testowanie eksploracyjne; Na podstawie wymagania – test wyprowadzony wprost z treści wymagania.</t>
  </si>
  <si>
    <t xml:space="preserve">Wiersze przykładowe</t>
  </si>
  <si>
    <t xml:space="preserve">Wiersze wyróżnione żółtym tłem są przykładami – usuń je lub zastąp własnymi przed oddaniem.</t>
  </si>
  <si>
    <t xml:space="preserve">Nr</t>
  </si>
  <si>
    <t xml:space="preserve">Wymaganie (REQ-…)</t>
  </si>
  <si>
    <t xml:space="preserve">Rodzaj problemu</t>
  </si>
  <si>
    <t xml:space="preserve">Opis problemu</t>
  </si>
  <si>
    <t xml:space="preserve">Pytanie do autora / propozycja</t>
  </si>
  <si>
    <t xml:space="preserve">REQ-FRM-02</t>
  </si>
  <si>
    <t xml:space="preserve">Niejednoznaczność</t>
  </si>
  <si>
    <t xml:space="preserve">Nie określono, czy „litery” obejmują polskie znaki i inne alfabety oraz czy dozwolony jest apostrof (np. O'Neil).</t>
  </si>
  <si>
    <t xml:space="preserve">Czy imiona „Łucja”, „Zoë”, „O'Neil” są poprawne?</t>
  </si>
  <si>
    <t xml:space="preserve">Brak (niekompletne)</t>
  </si>
  <si>
    <t xml:space="preserve">Brak reguły dla spacji na początku/końcu i imienia złożonego z samych spacji lub myślników.</t>
  </si>
  <si>
    <t xml:space="preserve">Czy „   ” (3 spacje) lub „--” to poprawne imię? Czy spacje są obcinane?</t>
  </si>
  <si>
    <t xml:space="preserve">REQ-FRM-03</t>
  </si>
  <si>
    <t xml:space="preserve">„Poprawny adres e-mail” nie jest zdefiniowany (format, maks. długość).</t>
  </si>
  <si>
    <t xml:space="preserve">Według jakiej reguły (np. RFC 5322) i do ilu znaków?</t>
  </si>
  <si>
    <t xml:space="preserve">REQ-FRM-04</t>
  </si>
  <si>
    <t xml:space="preserve">Sprzeczność</t>
  </si>
  <si>
    <t xml:space="preserve">Zakres wieku 1–120 bez słowa „włącznie”, podczas gdy REQ-FRM-05 mówi „włącznie” – niespójny zapis granic.</t>
  </si>
  <si>
    <t xml:space="preserve">Czy wiek 1 i 120 są poprawne? Proponuję dopisać „(włącznie)”.</t>
  </si>
  <si>
    <t xml:space="preserve">REQ-FRM-04, REQ-FRM-05</t>
  </si>
  <si>
    <t xml:space="preserve">„Liczba całkowita” – nie wiadomo, czy „2,0”, „+2”, „02” lub puste pole to błąd i jaki komunikat ma pojawić się dla pustego pola.</t>
  </si>
  <si>
    <t xml:space="preserve">Czy puste pole daje ten sam komunikat? Czy „2,0” jest poprawne?</t>
  </si>
  <si>
    <t xml:space="preserve">REQ-CEN-02</t>
  </si>
  <si>
    <t xml:space="preserve">Inne</t>
  </si>
  <si>
    <t xml:space="preserve">Jeden wiek dla całego zamówienia – nie da się kupić biletów dla rodziny (dorosły + dzieci).</t>
  </si>
  <si>
    <t xml:space="preserve">Czy to świadome ograniczenie? Czyj wiek decyduje o uldze?</t>
  </si>
  <si>
    <t xml:space="preserve">REQ-CEN-05</t>
  </si>
  <si>
    <t xml:space="preserve">„Wartość biletów przed rabatem” – nie wiadomo, czy przed, czy po uldze wiekowej (Słownik: „liczba biletów × cena biletu”).</t>
  </si>
  <si>
    <t xml:space="preserve">Czy 4 bilety ulgowe (60 zł; 120 zł bez ulgi) zwalniają z opłaty?</t>
  </si>
  <si>
    <t xml:space="preserve">Nietestowalne</t>
  </si>
  <si>
    <t xml:space="preserve">Próg 100,00 zł nie jest osiągalny dokładnie – ceny biletów to 15 zł i 30 zł, więc granicy ≥ 100,00 nie da się sprawdzić wartością 100,00.</t>
  </si>
  <si>
    <t xml:space="preserve">Czy próg ma sens? Może „od 4 biletów”?</t>
  </si>
  <si>
    <t xml:space="preserve">REQ-CEN-06</t>
  </si>
  <si>
    <t xml:space="preserve">Nie określono metody zaokrąglania do grosza (połówki w górę? bankierskie?).</t>
  </si>
  <si>
    <t xml:space="preserve">Którą metodę stosujemy? (dziś ceny dają pełne grosze, ale przy zmianie cen problem wróci)</t>
  </si>
  <si>
    <t xml:space="preserve">REQ-CEN-04</t>
  </si>
  <si>
    <t xml:space="preserve">Brak reguły dla spacji wokół kodu oraz dla kodu złożonego z samych spacji.</t>
  </si>
  <si>
    <t xml:space="preserve">Czy „ KINO10 ” jest poprawnym kodem?</t>
  </si>
  <si>
    <t xml:space="preserve">REQ-FRM-07</t>
  </si>
  <si>
    <t xml:space="preserve">Nie określono kolejności komunikatów ani tego, czy wpisane dane pozostają w polach po błędzie.</t>
  </si>
  <si>
    <t xml:space="preserve">Czy kolejność ma odpowiadać kolejności pól?</t>
  </si>
  <si>
    <t xml:space="preserve">ID</t>
  </si>
  <si>
    <t xml:space="preserve">Warunek testowy (CO sprawdzamy)</t>
  </si>
  <si>
    <t xml:space="preserve">Priorytet</t>
  </si>
  <si>
    <t xml:space="preserve">Uwagi</t>
  </si>
  <si>
    <t xml:space="preserve">WT-FRM-01</t>
  </si>
  <si>
    <t xml:space="preserve">Formularz zawiera wszystkie pola o nazwach ze specyfikacji</t>
  </si>
  <si>
    <t xml:space="preserve">REQ-FRM-01</t>
  </si>
  <si>
    <t xml:space="preserve">Średni</t>
  </si>
  <si>
    <t xml:space="preserve">PRZYKŁAD – usuń lub zastąp</t>
  </si>
  <si>
    <t xml:space="preserve">WT-FRM-02</t>
  </si>
  <si>
    <t xml:space="preserve">Minimalna i maksymalna długość imienia (2–30)</t>
  </si>
  <si>
    <t xml:space="preserve">WT-FRM-03</t>
  </si>
  <si>
    <t xml:space="preserve">Dozwolone znaki imienia: litery (w tym polskie), spacja, myślnik</t>
  </si>
  <si>
    <t xml:space="preserve">WT-FRM-04</t>
  </si>
  <si>
    <t xml:space="preserve">Niedozwolone znaki imienia: cyfry, znaki specjalne</t>
  </si>
  <si>
    <t xml:space="preserve">WT-FRM-05</t>
  </si>
  <si>
    <t xml:space="preserve">Format adresu e-mail</t>
  </si>
  <si>
    <t xml:space="preserve">WT-FRM-06</t>
  </si>
  <si>
    <t xml:space="preserve">Zakres wieku 1–120 i typ (liczba całkowita)</t>
  </si>
  <si>
    <t xml:space="preserve">Wysoki</t>
  </si>
  <si>
    <t xml:space="preserve">WT-FRM-07</t>
  </si>
  <si>
    <t xml:space="preserve">Zakres liczby biletów 1–10 i typ (liczba całkowita)</t>
  </si>
  <si>
    <t xml:space="preserve">REQ-FRM-05</t>
  </si>
  <si>
    <t xml:space="preserve">WT-FRM-08</t>
  </si>
  <si>
    <t xml:space="preserve">Zakup bez kodu promocyjnego</t>
  </si>
  <si>
    <t xml:space="preserve">REQ-FRM-06</t>
  </si>
  <si>
    <t xml:space="preserve">Niski</t>
  </si>
  <si>
    <t xml:space="preserve">WT-FRM-09</t>
  </si>
  <si>
    <t xml:space="preserve">Lista wszystkich błędów przy kilku błędnych polach, brak zakupu</t>
  </si>
  <si>
    <t xml:space="preserve">WT-FRM-10</t>
  </si>
  <si>
    <t xml:space="preserve">Podsumowanie i komunikat „Dziękujemy za zakup!” przy poprawnych danych</t>
  </si>
  <si>
    <t xml:space="preserve">REQ-FRM-08</t>
  </si>
  <si>
    <t xml:space="preserve">WT-CEN-01</t>
  </si>
  <si>
    <t xml:space="preserve">Cena biletu normalnego 30,00 zł</t>
  </si>
  <si>
    <t xml:space="preserve">REQ-CEN-01</t>
  </si>
  <si>
    <t xml:space="preserve">WT-CEN-02</t>
  </si>
  <si>
    <t xml:space="preserve">Ulga 50% – granice wieku 18 i 65</t>
  </si>
  <si>
    <t xml:space="preserve">WT-CEN-03</t>
  </si>
  <si>
    <t xml:space="preserve">Rabat dla kombinacji karta × kod (4 kombinacje)</t>
  </si>
  <si>
    <t xml:space="preserve">REQ-CEN-03</t>
  </si>
  <si>
    <t xml:space="preserve">WT-CEN-04</t>
  </si>
  <si>
    <t xml:space="preserve">Kod KINO10 – wielkość liter; kod niepoprawny i informacja</t>
  </si>
  <si>
    <t xml:space="preserve">WT-CEN-05</t>
  </si>
  <si>
    <t xml:space="preserve">Opłata rezerwacyjna: karta lub wartość ≥ 100,00 zł</t>
  </si>
  <si>
    <t xml:space="preserve">WT-CEN-06</t>
  </si>
  <si>
    <t xml:space="preserve">Wzór kwoty do zapłaty</t>
  </si>
  <si>
    <t xml:space="preserve">WT-CEN-07</t>
  </si>
  <si>
    <t xml:space="preserve">Format kwot „0,00 zł”</t>
  </si>
  <si>
    <t xml:space="preserve">REQ-CEN-07</t>
  </si>
  <si>
    <t xml:space="preserve">Tytuł</t>
  </si>
  <si>
    <t xml:space="preserve">Technika</t>
  </si>
  <si>
    <t xml:space="preserve">Warunki wstępne</t>
  </si>
  <si>
    <t xml:space="preserve">Dane testowe</t>
  </si>
  <si>
    <t xml:space="preserve">Kroki</t>
  </si>
  <si>
    <t xml:space="preserve">Oczekiwany rezultat</t>
  </si>
  <si>
    <t xml:space="preserve">Rzeczywisty rezultat</t>
  </si>
  <si>
    <t xml:space="preserve">Status</t>
  </si>
  <si>
    <t xml:space="preserve">ID defektu</t>
  </si>
  <si>
    <t xml:space="preserve">Wykonał</t>
  </si>
  <si>
    <t xml:space="preserve">Data wykonania</t>
  </si>
  <si>
    <t xml:space="preserve">TC-FRM-001</t>
  </si>
  <si>
    <t xml:space="preserve">Poprawne dane, bez karty i kodu</t>
  </si>
  <si>
    <t xml:space="preserve">REQ-FRM-06, REQ-FRM-08, REQ-CEN-01</t>
  </si>
  <si>
    <t xml:space="preserve">EP</t>
  </si>
  <si>
    <t xml:space="preserve">1. Otwarty Symulator_KinoTO.xlsx.
2. Żółte pola puste, karta: Nie.</t>
  </si>
  <si>
    <t xml:space="preserve">imię: Anna
e-mail: anna@example.com
wiek: 30
liczba biletów: 2
kod: (puste)
karta: Nie</t>
  </si>
  <si>
    <t xml:space="preserve">1. Wpisz dane testowe w żółte pola.
2. Odczytaj sekcje „Komunikaty” i „Podsumowanie”.</t>
  </si>
  <si>
    <t xml:space="preserve">Brak komunikatów o błędach; cena biletu 30,00 zł; rabat 0%; opłata 2,00 zł; do zapłaty 62,00 zł; „Dziękujemy za zakup!”.</t>
  </si>
  <si>
    <t xml:space="preserve">Zgodny z oczekiwanym (opłata wyświetlona bez formatu – zob. DEF-007).</t>
  </si>
  <si>
    <t xml:space="preserve">Zaliczony</t>
  </si>
  <si>
    <t xml:space="preserve">2026-10-13</t>
  </si>
  <si>
    <t xml:space="preserve">TC-FRM-002</t>
  </si>
  <si>
    <t xml:space="preserve">Imię 1-znakowe – odrzucone (AWB)</t>
  </si>
  <si>
    <t xml:space="preserve">AWB</t>
  </si>
  <si>
    <t xml:space="preserve">imię: A
e-mail: anna@example.com
wiek: 30
liczba biletów: 2
kod: (puste)
karta: Nie</t>
  </si>
  <si>
    <t xml:space="preserve">Komunikaty: „Podaj poprawne imię.”; brak podsumowania.</t>
  </si>
  <si>
    <t xml:space="preserve">Zgodny z oczekiwanym.</t>
  </si>
  <si>
    <t xml:space="preserve">TC-FRM-003</t>
  </si>
  <si>
    <t xml:space="preserve">Imię 2-znakowe – przyjęte (AWB)</t>
  </si>
  <si>
    <t xml:space="preserve">imię: Al
e-mail: anna@example.com
wiek: 30
liczba biletów: 2
kod: (puste)
karta: Nie</t>
  </si>
  <si>
    <t xml:space="preserve">TC-FRM-004</t>
  </si>
  <si>
    <t xml:space="preserve">Imię 30-znakowe – przyjęte (AWB)</t>
  </si>
  <si>
    <t xml:space="preserve">imię: AAAAAAAAAAAAAAAAAAAAAAAAAAAAAA
e-mail: anna@example.com
wiek: 30
liczba biletów: 2
kod: (puste)
karta: Nie</t>
  </si>
  <si>
    <t xml:space="preserve">TC-FRM-005</t>
  </si>
  <si>
    <t xml:space="preserve">Imię 31-znakowe – odrzucone (AWB)</t>
  </si>
  <si>
    <t xml:space="preserve">imię: AAAAAAAAAAAAAAAAAAAAAAAAAAAAAAA
e-mail: anna@example.com
wiek: 30
liczba biletów: 2
kod: (puste)
karta: Nie</t>
  </si>
  <si>
    <t xml:space="preserve">TC-FRM-006</t>
  </si>
  <si>
    <t xml:space="preserve">Imię z cyfrą – odrzucone (EP)</t>
  </si>
  <si>
    <t xml:space="preserve">imię: Anna1
e-mail: anna@example.com
wiek: 30
liczba biletów: 2
kod: (puste)
karta: Nie</t>
  </si>
  <si>
    <t xml:space="preserve">Brak komunikatów o błędach; cena biletu 30,00 zł; rabat 0%; opłata 2; do zapłaty 62,00 zł; „Dziękujemy za zakup!”.</t>
  </si>
  <si>
    <t xml:space="preserve">Niezaliczony</t>
  </si>
  <si>
    <t xml:space="preserve">DEF-001</t>
  </si>
  <si>
    <t xml:space="preserve">TC-FRM-007</t>
  </si>
  <si>
    <t xml:space="preserve">Imię z polskimi znakami, spacją i myślnikiem – przyjęte</t>
  </si>
  <si>
    <t xml:space="preserve">imię: Łucja-Maria Kos
e-mail: anna@example.com
wiek: 30
liczba biletów: 2
kod: (puste)
karta: Nie</t>
  </si>
  <si>
    <t xml:space="preserve">TC-FRM-008</t>
  </si>
  <si>
    <t xml:space="preserve">E-mail bez znaku @ – odrzucony</t>
  </si>
  <si>
    <t xml:space="preserve">imię: Anna
e-mail: anna.example.com
wiek: 30
liczba biletów: 2
kod: (puste)
karta: Nie</t>
  </si>
  <si>
    <t xml:space="preserve">Komunikaty: „Niepoprawny adres e-mail.”; brak podsumowania.</t>
  </si>
  <si>
    <t xml:space="preserve">TC-FRM-009</t>
  </si>
  <si>
    <t xml:space="preserve">Wiek 0 – odrzucony (AWB)</t>
  </si>
  <si>
    <t xml:space="preserve">imię: Anna
e-mail: anna@example.com
wiek: 0
liczba biletów: 2
kod: (puste)
karta: Nie</t>
  </si>
  <si>
    <t xml:space="preserve">Komunikaty: „Podaj wiek od 1 do 120.”; brak podsumowania.</t>
  </si>
  <si>
    <t xml:space="preserve">TC-FRM-010</t>
  </si>
  <si>
    <t xml:space="preserve">Wiek 121 – odrzucony (AWB)</t>
  </si>
  <si>
    <t xml:space="preserve">imię: Anna
e-mail: anna@example.com
wiek: 121
liczba biletów: 2
kod: (puste)
karta: Nie</t>
  </si>
  <si>
    <t xml:space="preserve">TC-FRM-011</t>
  </si>
  <si>
    <t xml:space="preserve">Wiek „abc” – odrzucony (EP)</t>
  </si>
  <si>
    <t xml:space="preserve">imię: Anna
e-mail: anna@example.com
wiek: abc
liczba biletów: 2
kod: (puste)
karta: Nie</t>
  </si>
  <si>
    <t xml:space="preserve">TC-FRM-012</t>
  </si>
  <si>
    <t xml:space="preserve">Liczba biletów 0 – odrzucona (AWB)</t>
  </si>
  <si>
    <t xml:space="preserve">imię: Anna
e-mail: anna@example.com
wiek: 30
liczba biletów: 0
kod: (puste)
karta: Nie</t>
  </si>
  <si>
    <t xml:space="preserve">Komunikaty: „Można kupić od 1 do 10 biletów.”; brak podsumowania.</t>
  </si>
  <si>
    <t xml:space="preserve">TC-FRM-013</t>
  </si>
  <si>
    <t xml:space="preserve">Liczba biletów 10 – przyjęta (AWB)</t>
  </si>
  <si>
    <t xml:space="preserve">REQ-FRM-05, REQ-CEN-05</t>
  </si>
  <si>
    <t xml:space="preserve">imię: Anna
e-mail: anna@example.com
wiek: 30
liczba biletów: 10
kod: (puste)
karta: Nie</t>
  </si>
  <si>
    <t xml:space="preserve">Brak komunikatów o błędach; cena biletu 30,00 zł; rabat 0%; opłata 0,00 zł; do zapłaty 300,00 zł; „Dziękujemy za zakup!”.</t>
  </si>
  <si>
    <t xml:space="preserve">TC-FRM-014</t>
  </si>
  <si>
    <t xml:space="preserve">Liczba biletów 11 – odrzucona (AWB)</t>
  </si>
  <si>
    <t xml:space="preserve">imię: Anna
e-mail: anna@example.com
wiek: 30
liczba biletów: 11
kod: (puste)
karta: Nie</t>
  </si>
  <si>
    <t xml:space="preserve">Brak komunikatów o błędach; cena biletu 30,00 zł; rabat 0%; opłata 0; do zapłaty 330,00 zł; „Dziękujemy za zakup!”.</t>
  </si>
  <si>
    <t xml:space="preserve">DEF-002</t>
  </si>
  <si>
    <t xml:space="preserve">TC-FRM-015</t>
  </si>
  <si>
    <t xml:space="preserve">Dwa błędne pola – dwa komunikaty</t>
  </si>
  <si>
    <t xml:space="preserve">Na podstawie wymagania</t>
  </si>
  <si>
    <t xml:space="preserve">imię: A
e-mail: anna@example.com
wiek: 0
liczba biletów: 2
kod: (puste)
karta: Nie</t>
  </si>
  <si>
    <t xml:space="preserve">Komunikaty: „Podaj poprawne imię.” „Podaj wiek od 1 do 120.”; brak podsumowania.</t>
  </si>
  <si>
    <t xml:space="preserve">TC-CEN-001</t>
  </si>
  <si>
    <t xml:space="preserve">Karta + poprawny kod – rabat 15%</t>
  </si>
  <si>
    <t xml:space="preserve">REQ-CEN-03, REQ-CEN-05, REQ-CEN-06</t>
  </si>
  <si>
    <t xml:space="preserve">Tablica decyzyjna</t>
  </si>
  <si>
    <t xml:space="preserve">imię: Anna
e-mail: anna@example.com
wiek: 30
liczba biletów: 2
kod: KINO10
karta: Tak</t>
  </si>
  <si>
    <t xml:space="preserve">Brak komunikatów o błędach; cena biletu 30,00 zł; rabat 15%; opłata 0,00 zł; do zapłaty 51,00 zł; „Dziękujemy za zakup!”.</t>
  </si>
  <si>
    <t xml:space="preserve">Brak komunikatów o błędach; cena biletu 30,00 zł; rabat 20%; opłata 0; do zapłaty 48,00 zł; „Dziękujemy za zakup!”.</t>
  </si>
  <si>
    <t xml:space="preserve">DEF-004</t>
  </si>
  <si>
    <t xml:space="preserve">TC-CEN-002</t>
  </si>
  <si>
    <t xml:space="preserve">Tylko karta – rabat 10%, bez opłaty</t>
  </si>
  <si>
    <t xml:space="preserve">REQ-CEN-03, REQ-CEN-05</t>
  </si>
  <si>
    <t xml:space="preserve">imię: Anna
e-mail: anna@example.com
wiek: 30
liczba biletów: 2
kod: (puste)
karta: Tak</t>
  </si>
  <si>
    <t xml:space="preserve">Brak komunikatów o błędach; cena biletu 30,00 zł; rabat 10%; opłata 0,00 zł; do zapłaty 54,00 zł; „Dziękujemy za zakup!”.</t>
  </si>
  <si>
    <t xml:space="preserve">TC-CEN-003</t>
  </si>
  <si>
    <t xml:space="preserve">Tylko kod – rabat 10%, z opłatą</t>
  </si>
  <si>
    <t xml:space="preserve">imię: Anna
e-mail: anna@example.com
wiek: 30
liczba biletów: 2
kod: KINO10
karta: Nie</t>
  </si>
  <si>
    <t xml:space="preserve">Brak komunikatów o błędach; cena biletu 30,00 zł; rabat 10%; opłata 2,00 zł; do zapłaty 56,00 zł; „Dziękujemy za zakup!”.</t>
  </si>
  <si>
    <t xml:space="preserve">TC-CEN-004</t>
  </si>
  <si>
    <t xml:space="preserve">Bez karty i kodu – rabat 0%</t>
  </si>
  <si>
    <t xml:space="preserve">TC-CEN-005</t>
  </si>
  <si>
    <t xml:space="preserve">Kod małymi literami „kino10” – uznany</t>
  </si>
  <si>
    <t xml:space="preserve">imię: Anna
e-mail: anna@example.com
wiek: 30
liczba biletów: 2
kod: kino10
karta: Nie</t>
  </si>
  <si>
    <t xml:space="preserve">Brak komunikatów o błędach; „Nieprawidłowy kod – pominięto”; cena biletu 30,00 zł; rabat 0%; opłata 2; do zapłaty 62,00 zł; „Dziękujemy za zakup!”.</t>
  </si>
  <si>
    <t xml:space="preserve">DEF-005</t>
  </si>
  <si>
    <t xml:space="preserve">TC-CEN-006</t>
  </si>
  <si>
    <t xml:space="preserve">Kod niepoprawny „KINO20” – informacja, brak rabatu</t>
  </si>
  <si>
    <t xml:space="preserve">imię: Anna
e-mail: anna@example.com
wiek: 30
liczba biletów: 2
kod: KINO20
karta: Nie</t>
  </si>
  <si>
    <t xml:space="preserve">Brak komunikatów o błędach; „Nieprawidłowy kod – pominięto”; cena biletu 30,00 zł; rabat 0%; opłata 2,00 zł; do zapłaty 62,00 zł; „Dziękujemy za zakup!”.</t>
  </si>
  <si>
    <t xml:space="preserve">TC-CEN-007</t>
  </si>
  <si>
    <t xml:space="preserve">Wiek 17 – bilet ulgowy (AWB)</t>
  </si>
  <si>
    <t xml:space="preserve">imię: Anna
e-mail: anna@example.com
wiek: 17
liczba biletów: 2
kod: (puste)
karta: Nie</t>
  </si>
  <si>
    <t xml:space="preserve">Brak komunikatów o błędach; cena biletu 15,00 zł; rabat 0%; opłata 2,00 zł; do zapłaty 32,00 zł; „Dziękujemy za zakup!”.</t>
  </si>
  <si>
    <t xml:space="preserve">TC-CEN-008</t>
  </si>
  <si>
    <t xml:space="preserve">Wiek 18 – bilet normalny (AWB)</t>
  </si>
  <si>
    <t xml:space="preserve">imię: Anna
e-mail: anna@example.com
wiek: 18
liczba biletów: 2
kod: (puste)
karta: Nie</t>
  </si>
  <si>
    <t xml:space="preserve">TC-CEN-009</t>
  </si>
  <si>
    <t xml:space="preserve">Wiek 64 – bilet normalny (AWB)</t>
  </si>
  <si>
    <t xml:space="preserve">imię: Anna
e-mail: anna@example.com
wiek: 64
liczba biletów: 2
kod: (puste)
karta: Nie</t>
  </si>
  <si>
    <t xml:space="preserve">TC-CEN-010</t>
  </si>
  <si>
    <t xml:space="preserve">Wiek 65 – bilet ulgowy (AWB)</t>
  </si>
  <si>
    <t xml:space="preserve">imię: Anna
e-mail: anna@example.com
wiek: 65
liczba biletów: 2
kod: (puste)
karta: Nie</t>
  </si>
  <si>
    <t xml:space="preserve">DEF-003</t>
  </si>
  <si>
    <t xml:space="preserve">TC-CEN-011</t>
  </si>
  <si>
    <t xml:space="preserve">Wiek 1 – bilet ulgowy (AWB)</t>
  </si>
  <si>
    <t xml:space="preserve">REQ-CEN-02, REQ-FRM-04</t>
  </si>
  <si>
    <t xml:space="preserve">imię: Anna
e-mail: anna@example.com
wiek: 1
liczba biletów: 2
kod: (puste)
karta: Nie</t>
  </si>
  <si>
    <t xml:space="preserve">TC-CEN-012</t>
  </si>
  <si>
    <t xml:space="preserve">4 bilety (120 zł) – bez opłaty</t>
  </si>
  <si>
    <t xml:space="preserve">imię: Anna
e-mail: anna@example.com
wiek: 30
liczba biletów: 4
kod: (puste)
karta: Nie</t>
  </si>
  <si>
    <t xml:space="preserve">Brak komunikatów o błędach; cena biletu 30,00 zł; rabat 0%; opłata 0,00 zł; do zapłaty 120,00 zł; „Dziękujemy za zakup!”.</t>
  </si>
  <si>
    <t xml:space="preserve">TC-CEN-013</t>
  </si>
  <si>
    <t xml:space="preserve">3 bilety + kod – wzór kwoty</t>
  </si>
  <si>
    <t xml:space="preserve">imię: Anna
e-mail: anna@example.com
wiek: 30
liczba biletów: 3
kod: KINO10
karta: Nie</t>
  </si>
  <si>
    <t xml:space="preserve">Brak komunikatów o błędach; cena biletu 30,00 zł; rabat 10%; opłata 2,00 zł; do zapłaty 83,00 zł; „Dziękujemy za zakup!”.</t>
  </si>
  <si>
    <t xml:space="preserve">TC-FRM-016</t>
  </si>
  <si>
    <t xml:space="preserve">Nazwy pól formularza zgodne ze specyfikacją</t>
  </si>
  <si>
    <t xml:space="preserve">1. Otwarty symulator.</t>
  </si>
  <si>
    <t xml:space="preserve">—</t>
  </si>
  <si>
    <t xml:space="preserve">1. Odczytaj etykiety pól formularza.</t>
  </si>
  <si>
    <t xml:space="preserve">Etykiety: Imię, E-mail, Wiek, Liczba biletów, Kod promocyjny, Mam Kartę Kinomaniaka.</t>
  </si>
  <si>
    <t xml:space="preserve">Etykieta piątego pola brzmi „Kod rabatowy” zamiast „Kod promocyjny”.</t>
  </si>
  <si>
    <t xml:space="preserve">DEF-006</t>
  </si>
  <si>
    <t xml:space="preserve">TC-CEN-014</t>
  </si>
  <si>
    <t xml:space="preserve">Format opłaty rezerwacyjnej „0,00 zł”</t>
  </si>
  <si>
    <t xml:space="preserve">1. Otwarty symulator, żółte pola puste.</t>
  </si>
  <si>
    <t xml:space="preserve">1. Wpisz dane.
2. Odczytaj pole „Opłata rezerwacyjna”.</t>
  </si>
  <si>
    <t xml:space="preserve">Opłata wyświetlona jako „2,00 zł”.</t>
  </si>
  <si>
    <t xml:space="preserve">Opłata wyświetlona jako „2” (bez miejsc po przecinku i bez „zł”).</t>
  </si>
  <si>
    <t xml:space="preserve">DEF-007</t>
  </si>
  <si>
    <t xml:space="preserve">ID wymagania</t>
  </si>
  <si>
    <t xml:space="preserve">Wymaganie (skrót)</t>
  </si>
  <si>
    <t xml:space="preserve">Przypadki testowe (ID)</t>
  </si>
  <si>
    <t xml:space="preserve">Liczba przypadków</t>
  </si>
  <si>
    <t xml:space="preserve">Zaliczone</t>
  </si>
  <si>
    <t xml:space="preserve">Niezaliczone</t>
  </si>
  <si>
    <t xml:space="preserve">Pokrycie</t>
  </si>
  <si>
    <t xml:space="preserve">Pola formularza i przycisk „Kup”</t>
  </si>
  <si>
    <t xml:space="preserve">Imię 2–30 znaków: litery, spacja, myślnik</t>
  </si>
  <si>
    <t xml:space="preserve">TC-FRM-002, TC-FRM-003, TC-FRM-004, TC-FRM-005, TC-FRM-006, TC-FRM-007</t>
  </si>
  <si>
    <t xml:space="preserve">Poprawny adres e-mail</t>
  </si>
  <si>
    <t xml:space="preserve">Wiek: liczba całkowita 1–120</t>
  </si>
  <si>
    <t xml:space="preserve">TC-FRM-009, TC-FRM-010, TC-FRM-011, TC-CEN-011</t>
  </si>
  <si>
    <t xml:space="preserve">Liczba biletów: liczba całkowita 1–10</t>
  </si>
  <si>
    <t xml:space="preserve">TC-FRM-012, TC-FRM-013, TC-FRM-014</t>
  </si>
  <si>
    <t xml:space="preserve">Kod promocyjny opcjonalny</t>
  </si>
  <si>
    <t xml:space="preserve">Lista wszystkich błędów, brak zakupu</t>
  </si>
  <si>
    <t xml:space="preserve">Podsumowanie i „Dziękujemy za zakup!”</t>
  </si>
  <si>
    <t xml:space="preserve">Bilet normalny 30,00 zł</t>
  </si>
  <si>
    <t xml:space="preserve">Ulga 50%: wiek &lt; 18 lub ≥ 65</t>
  </si>
  <si>
    <t xml:space="preserve">TC-CEN-007, TC-CEN-008, TC-CEN-009, TC-CEN-010, TC-CEN-011</t>
  </si>
  <si>
    <t xml:space="preserve">Rabat 15% / 10% / 0% (karta, kod)</t>
  </si>
  <si>
    <t xml:space="preserve">TC-CEN-001, TC-CEN-002, TC-CEN-003, TC-CEN-004</t>
  </si>
  <si>
    <t xml:space="preserve">Kod KINO10, wielkość liter bez znaczenia</t>
  </si>
  <si>
    <t xml:space="preserve">TC-CEN-005, TC-CEN-006</t>
  </si>
  <si>
    <t xml:space="preserve">Opłata 2,00 zł; bez opłaty: karta lub ≥ 100,00 zł</t>
  </si>
  <si>
    <t xml:space="preserve">TC-FRM-013, TC-CEN-001, TC-CEN-002, TC-CEN-003, TC-CEN-012</t>
  </si>
  <si>
    <t xml:space="preserve">Wzór kwoty do zapłaty, zaokrąglenie</t>
  </si>
  <si>
    <t xml:space="preserve">TC-CEN-001, TC-CEN-013</t>
  </si>
  <si>
    <t xml:space="preserve">Karta sesji</t>
  </si>
  <si>
    <t xml:space="preserve">S1</t>
  </si>
  <si>
    <t xml:space="preserve">Zbadaj</t>
  </si>
  <si>
    <t xml:space="preserve">Symulator KinoTO (Symulator_KinoTO.xlsx) – cały formularz i podsumowanie</t>
  </si>
  <si>
    <t xml:space="preserve">Używając</t>
  </si>
  <si>
    <t xml:space="preserve">nietypowych danych: puste pola, spacje, liczby ujemne i ułamkowe, bardzo długie teksty, polskie znaki, różna wielkość liter, kombinacje karty i kodu</t>
  </si>
  <si>
    <t xml:space="preserve">Aby</t>
  </si>
  <si>
    <t xml:space="preserve">znaleźć defekty walidacji, wyliczania ceny i prezentacji wyników</t>
  </si>
  <si>
    <t xml:space="preserve">Czas</t>
  </si>
  <si>
    <t xml:space="preserve">20 minut</t>
  </si>
  <si>
    <t xml:space="preserve">Tester</t>
  </si>
  <si>
    <t xml:space="preserve">Data</t>
  </si>
  <si>
    <t xml:space="preserve">Co sprawdzono (dane wejściowe)</t>
  </si>
  <si>
    <t xml:space="preserve">Obserwacja (co się stało)</t>
  </si>
  <si>
    <t xml:space="preserve">Ocena</t>
  </si>
  <si>
    <t xml:space="preserve">ID raportu / pytania</t>
  </si>
  <si>
    <t xml:space="preserve">Czas [min]</t>
  </si>
  <si>
    <t xml:space="preserve">Wiek −5</t>
  </si>
  <si>
    <t xml:space="preserve">Komunikat „Podaj wiek od 1 do 120.”, brak podsumowania</t>
  </si>
  <si>
    <t xml:space="preserve">OK</t>
  </si>
  <si>
    <t xml:space="preserve">Wiek puste pole</t>
  </si>
  <si>
    <t xml:space="preserve">Komunikat „Podaj wiek od 1 do 120.”</t>
  </si>
  <si>
    <t xml:space="preserve">Pytanie: przegląd nr 5</t>
  </si>
  <si>
    <t xml:space="preserve">Liczba biletów 2,5</t>
  </si>
  <si>
    <t xml:space="preserve">Komunikat „Można kupić od 1 do 10 biletów.”</t>
  </si>
  <si>
    <t xml:space="preserve">Liczba biletów −1</t>
  </si>
  <si>
    <t xml:space="preserve">Imię „Anna_M” (podkreślnik)</t>
  </si>
  <si>
    <t xml:space="preserve">Zakup przyjęty, brak komunikatu</t>
  </si>
  <si>
    <t xml:space="preserve">Kandydat na defekt</t>
  </si>
  <si>
    <t xml:space="preserve">Imię z 3 spacji</t>
  </si>
  <si>
    <t xml:space="preserve">Zakup przyjęty</t>
  </si>
  <si>
    <t xml:space="preserve">Pytanie</t>
  </si>
  <si>
    <t xml:space="preserve">Przegląd nr 2</t>
  </si>
  <si>
    <t xml:space="preserve">Imię 40 znaków (z myślnikiem)</t>
  </si>
  <si>
    <t xml:space="preserve">Komunikat „Podaj poprawne imię.”</t>
  </si>
  <si>
    <t xml:space="preserve">E-mail „a@b”</t>
  </si>
  <si>
    <t xml:space="preserve">Komunikat „Niepoprawny adres e-mail.”</t>
  </si>
  <si>
    <t xml:space="preserve">Pytanie: przegląd nr 3</t>
  </si>
  <si>
    <t xml:space="preserve">E-mail 64 znaki</t>
  </si>
  <si>
    <t xml:space="preserve">Kod „ KINO10 ” (spacje)</t>
  </si>
  <si>
    <t xml:space="preserve">Kod uznany, rabat 10%</t>
  </si>
  <si>
    <t xml:space="preserve">Przegląd nr 10</t>
  </si>
  <si>
    <t xml:space="preserve">Karta: Tak + kod „kino10”</t>
  </si>
  <si>
    <t xml:space="preserve">Informacja „Nieprawidłowy kod – pominięto”, rabat 10% (tylko za kartę)</t>
  </si>
  <si>
    <t xml:space="preserve">Poprawne dane, odczyt opłaty</t>
  </si>
  <si>
    <t xml:space="preserve">Opłata pokazana jako „2” zamiast „2,00 zł”</t>
  </si>
  <si>
    <t xml:space="preserve">Tytuł (krótki opis awarii)</t>
  </si>
  <si>
    <t xml:space="preserve">Zgłaszający</t>
  </si>
  <si>
    <t xml:space="preserve">Obiekt testów / URL</t>
  </si>
  <si>
    <t xml:space="preserve">Środowisko</t>
  </si>
  <si>
    <t xml:space="preserve">Kroki do odtworzenia</t>
  </si>
  <si>
    <t xml:space="preserve">Ważność</t>
  </si>
  <si>
    <t xml:space="preserve">Powtarzalność</t>
  </si>
  <si>
    <t xml:space="preserve">Powiązany przypadek / wymaganie</t>
  </si>
  <si>
    <t xml:space="preserve">Załączniki</t>
  </si>
  <si>
    <t xml:space="preserve">Formularz: imię z cyfrą („Anna1”) jest akceptowane</t>
  </si>
  <si>
    <t xml:space="preserve">KinoTO 1.0 – Symulator_KinoTO.xlsx</t>
  </si>
  <si>
    <t xml:space="preserve">Windows 11, Microsoft Excel (Microsoft 365) / LibreOffice Calc 24; Symulator_KinoTO.xlsx (KinoTO 1.0)</t>
  </si>
  <si>
    <t xml:space="preserve">Symulator otwarty, żółte pola puste, karta: Nie.</t>
  </si>
  <si>
    <t xml:space="preserve">1. Wpisz dane:
imię: Anna1
e-mail: anna@example.com
wiek: 30
liczba biletów: 2
kod: (puste)
karta: Nie
2. Odczytaj sekcje „Komunikaty” i „Podsumowanie”.</t>
  </si>
  <si>
    <t xml:space="preserve">Komunikat „Podaj poprawne imię.” i brak podsumowania (REQ-FRM-02: tylko litery, spacja, myślnik).</t>
  </si>
  <si>
    <t xml:space="preserve">Brak komunikatu; zakup zrealizowany (do zapłaty 62,00 zł). To samo dla „Anna_M”.</t>
  </si>
  <si>
    <t xml:space="preserve">Średnia</t>
  </si>
  <si>
    <t xml:space="preserve">Zawsze</t>
  </si>
  <si>
    <t xml:space="preserve">Nowy</t>
  </si>
  <si>
    <t xml:space="preserve">TC-FRM-006, REQ-FRM-02</t>
  </si>
  <si>
    <t xml:space="preserve">DEF-001.png</t>
  </si>
  <si>
    <t xml:space="preserve">Formularz: zakup 11 biletów jest akceptowany</t>
  </si>
  <si>
    <t xml:space="preserve">1. Wpisz dane:
imię: Anna
e-mail: anna@example.com
wiek: 30
liczba biletów: 11
kod: (puste)
karta: Nie
2. Odczytaj sekcje „Komunikaty” i „Podsumowanie”.</t>
  </si>
  <si>
    <t xml:space="preserve">Komunikat „Można kupić od 1 do 10 biletów.”, brak podsumowania (REQ-FRM-05).</t>
  </si>
  <si>
    <t xml:space="preserve">Brak komunikatu; podsumowanie dla 11 biletów, do zapłaty 330,00 zł.</t>
  </si>
  <si>
    <t xml:space="preserve">Wysoka</t>
  </si>
  <si>
    <t xml:space="preserve">TC-FRM-014, REQ-FRM-05</t>
  </si>
  <si>
    <t xml:space="preserve">Podsumowanie: kupujący w wieku 65 lat płaci pełną cenę biletu</t>
  </si>
  <si>
    <t xml:space="preserve">1. Wpisz dane:
imię: Anna
e-mail: anna@example.com
wiek: 65
liczba biletów: 2
kod: (puste)
karta: Nie
2. Odczytaj sekcje „Komunikaty” i „Podsumowanie”.</t>
  </si>
  <si>
    <t xml:space="preserve">Cena biletu 15,00 zł (ulga dla wieku ≥ 65, REQ-CEN-02), do zapłaty 32,00 zł.</t>
  </si>
  <si>
    <t xml:space="preserve">Cena biletu 30,00 zł, do zapłaty 62,00 zł. Dla wieku 66 cena poprawna (15,00 zł).</t>
  </si>
  <si>
    <t xml:space="preserve">TC-CEN-010, REQ-CEN-02</t>
  </si>
  <si>
    <t xml:space="preserve">Podsumowanie: karta + kod KINO10 dają rabat 20% zamiast 15%</t>
  </si>
  <si>
    <t xml:space="preserve">1. Wpisz dane:
imię: Anna
e-mail: anna@example.com
wiek: 30
liczba biletów: 2
kod: KINO10
karta: Tak
2. Odczytaj sekcje „Komunikaty” i „Podsumowanie”.</t>
  </si>
  <si>
    <t xml:space="preserve">Rabat 15% (REQ-CEN-03), do zapłaty 51,00 zł.</t>
  </si>
  <si>
    <t xml:space="preserve">Rabat 20%, do zapłaty 48,00 zł (kino traci 3,00 zł na zamówieniu).</t>
  </si>
  <si>
    <t xml:space="preserve">TC-CEN-001, REQ-CEN-03</t>
  </si>
  <si>
    <t xml:space="preserve">Podsumowanie: kod „kino10” (małe litery) nie jest uznawany</t>
  </si>
  <si>
    <t xml:space="preserve">1. Wpisz dane:
imię: Anna
e-mail: anna@example.com
wiek: 30
liczba biletów: 2
kod: kino10
karta: Nie
2. Odczytaj sekcje „Komunikaty” i „Podsumowanie”.</t>
  </si>
  <si>
    <t xml:space="preserve">Kod uznany (wielkość liter bez znaczenia, REQ-CEN-04): rabat 10%, do zapłaty 56,00 zł.</t>
  </si>
  <si>
    <t xml:space="preserve">Informacja „Nieprawidłowy kod – pominięto”, rabat 0%, do zapłaty 62,00 zł.</t>
  </si>
  <si>
    <t xml:space="preserve">TC-CEN-005, REQ-CEN-04</t>
  </si>
  <si>
    <t xml:space="preserve">Formularz: etykieta „Kod rabatowy” zamiast „Kod promocyjny”</t>
  </si>
  <si>
    <t xml:space="preserve">1. Odczytaj etykietę piątego pola formularza.</t>
  </si>
  <si>
    <t xml:space="preserve">Etykieta „Kod promocyjny” (REQ-FRM-01).</t>
  </si>
  <si>
    <t xml:space="preserve">Etykieta „Kod rabatowy”.</t>
  </si>
  <si>
    <t xml:space="preserve">Niska</t>
  </si>
  <si>
    <t xml:space="preserve">TC-FRM-016, CHK-01, REQ-FRM-01</t>
  </si>
  <si>
    <t xml:space="preserve">Podsumowanie: opłata rezerwacyjna bez formatu kwoty („2” zamiast „2,00 zł”)</t>
  </si>
  <si>
    <t xml:space="preserve">1. Wpisz dane:
imię: Anna
e-mail: anna@example.com
wiek: 30
liczba biletów: 2
kod: (puste)
karta: Nie
2. Odczytaj sekcje „Komunikaty” i „Podsumowanie”.</t>
  </si>
  <si>
    <t xml:space="preserve">Opłata „2,00 zł” (REQ-CEN-07); przy karcie „0,00 zł”.</t>
  </si>
  <si>
    <t xml:space="preserve">Opłata „2” (przy karcie „0”) – bez miejsc po przecinku i jednostki.</t>
  </si>
  <si>
    <t xml:space="preserve">TC-CEN-014, CHK-05, REQ-CEN-07</t>
  </si>
  <si>
    <t xml:space="preserve">Obszar</t>
  </si>
  <si>
    <t xml:space="preserve">Pozycja kontrolna (pytanie; „Tak” = OK)</t>
  </si>
  <si>
    <t xml:space="preserve">Wynik</t>
  </si>
  <si>
    <t xml:space="preserve">Uwagi / dowód</t>
  </si>
  <si>
    <t xml:space="preserve">CHK-01</t>
  </si>
  <si>
    <t xml:space="preserve">Zgodność</t>
  </si>
  <si>
    <t xml:space="preserve">Czy nazwy pól są zgodne ze specyfikacją (REQ-FRM-01)?</t>
  </si>
  <si>
    <t xml:space="preserve">Nie</t>
  </si>
  <si>
    <t xml:space="preserve">Pole „Kod rabatowy” zamiast „Kod promocyjny”.</t>
  </si>
  <si>
    <t xml:space="preserve">CHK-02</t>
  </si>
  <si>
    <t xml:space="preserve">Komunikaty</t>
  </si>
  <si>
    <t xml:space="preserve">Czy treść komunikatów jest identyczna jak w wymaganiach?</t>
  </si>
  <si>
    <t xml:space="preserve">Tak</t>
  </si>
  <si>
    <t xml:space="preserve">Sprawdzono 4 komunikaty o błędach i informację o kodzie.</t>
  </si>
  <si>
    <t xml:space="preserve">CHK-03</t>
  </si>
  <si>
    <t xml:space="preserve">Czy każdy błąd ma osobny komunikat?</t>
  </si>
  <si>
    <t xml:space="preserve">Imię „A” + wiek 0 → 2 komunikaty.</t>
  </si>
  <si>
    <t xml:space="preserve">CHK-04</t>
  </si>
  <si>
    <t xml:space="preserve">Wyniki</t>
  </si>
  <si>
    <t xml:space="preserve">Czy przy błędach podsumowanie jest ukryte?</t>
  </si>
  <si>
    <t xml:space="preserve">CHK-05</t>
  </si>
  <si>
    <t xml:space="preserve">Czy wszystkie kwoty mają format „0,00 zł”?</t>
  </si>
  <si>
    <t xml:space="preserve">Opłata rezerwacyjna „2” / „0”.</t>
  </si>
  <si>
    <t xml:space="preserve">CHK-06</t>
  </si>
  <si>
    <t xml:space="preserve">Czy rabat jest pokazany w procentach?</t>
  </si>
  <si>
    <t xml:space="preserve">„15%”, „10%”, „0%”.</t>
  </si>
  <si>
    <t xml:space="preserve">CHK-07</t>
  </si>
  <si>
    <t xml:space="preserve">Czy po poprawnych danych widać „Dziękujemy za zakup!”?</t>
  </si>
  <si>
    <t xml:space="preserve">CHK-08</t>
  </si>
  <si>
    <t xml:space="preserve">Czy niepoprawny kod daje informację „Nieprawidłowy kod – pominięto”?</t>
  </si>
  <si>
    <t xml:space="preserve">Kod „KINO20”.</t>
  </si>
  <si>
    <t xml:space="preserve">CHK-09</t>
  </si>
  <si>
    <t xml:space="preserve">Użyteczność</t>
  </si>
  <si>
    <t xml:space="preserve">Czy widać, które pola są obowiązkowe?</t>
  </si>
  <si>
    <t xml:space="preserve">Brak oznaczeń; specyfikacja tego nie wymaga – sugestia, nie defekt.</t>
  </si>
  <si>
    <t xml:space="preserve">CHK-10</t>
  </si>
  <si>
    <t xml:space="preserve">Czy kartę wybiera się z listy (bez ryzyka literówki)?</t>
  </si>
  <si>
    <t xml:space="preserve">Lista Tak / Nie.</t>
  </si>
  <si>
    <t xml:space="preserve">CHK-11</t>
  </si>
  <si>
    <t xml:space="preserve">Zawartość</t>
  </si>
  <si>
    <t xml:space="preserve">Czy polskie znaki wyświetlają się poprawnie?</t>
  </si>
  <si>
    <t xml:space="preserve">„Łucja-Maria Kos”.</t>
  </si>
  <si>
    <t xml:space="preserve">CHK-12</t>
  </si>
  <si>
    <t xml:space="preserve">Czy komunikaty o błędach nie pojawiają się przed wpisaniem danych?</t>
  </si>
  <si>
    <t xml:space="preserve">Pusty formularz od razu pokazuje 4 komunikaty – ograniczenie symulatora (brak przycisku „Kup”); pytanie do autora.</t>
  </si>
  <si>
    <t xml:space="preserve">Pozycja</t>
  </si>
  <si>
    <t xml:space="preserve">Wartość</t>
  </si>
  <si>
    <t xml:space="preserve">Komentarz</t>
  </si>
  <si>
    <t xml:space="preserve">IDENTYFIKACJA</t>
  </si>
  <si>
    <t xml:space="preserve">Identyfikator raportu</t>
  </si>
  <si>
    <t xml:space="preserve">RW-KinoTO-01</t>
  </si>
  <si>
    <t xml:space="preserve">Obiekt testów</t>
  </si>
  <si>
    <t xml:space="preserve">KinoTO 1.0 (Symulator_KinoTO.xlsx)</t>
  </si>
  <si>
    <t xml:space="preserve">Okres testów</t>
  </si>
  <si>
    <t xml:space="preserve">Autor</t>
  </si>
  <si>
    <t xml:space="preserve">PRZYPADKI TESTOWE</t>
  </si>
  <si>
    <t xml:space="preserve">Zaprojektowane przypadki testowe</t>
  </si>
  <si>
    <t xml:space="preserve">Zablokowane</t>
  </si>
  <si>
    <t xml:space="preserve">Pominięte</t>
  </si>
  <si>
    <t xml:space="preserve">Nie wykonano</t>
  </si>
  <si>
    <t xml:space="preserve">% wykonanych (zaliczone + niezaliczone)</t>
  </si>
  <si>
    <t xml:space="preserve">% zaliczonych spośród wykonanych</t>
  </si>
  <si>
    <t xml:space="preserve">WYMAGANIA (MACIERZ ŚLEDZENIA)</t>
  </si>
  <si>
    <t xml:space="preserve">Wymagania w macierzy</t>
  </si>
  <si>
    <t xml:space="preserve">Wymagania pokryte przypadkami</t>
  </si>
  <si>
    <t xml:space="preserve">% pokrycia wymagań</t>
  </si>
  <si>
    <t xml:space="preserve">LISTA KONTROLNA</t>
  </si>
  <si>
    <t xml:space="preserve">Pozycje listy kontrolnej</t>
  </si>
  <si>
    <t xml:space="preserve">Wynik „Tak”</t>
  </si>
  <si>
    <t xml:space="preserve">Wynik „Nie”</t>
  </si>
  <si>
    <t xml:space="preserve">Nie dotyczy / nie sprawdzono</t>
  </si>
  <si>
    <t xml:space="preserve">DEFEKTY</t>
  </si>
  <si>
    <t xml:space="preserve">Zgłoszone defekty</t>
  </si>
  <si>
    <t xml:space="preserve">– krytyczne</t>
  </si>
  <si>
    <t xml:space="preserve">– wysokie</t>
  </si>
  <si>
    <t xml:space="preserve">– średnie</t>
  </si>
  <si>
    <t xml:space="preserve">– niskie</t>
  </si>
  <si>
    <t xml:space="preserve">Otwarte (bez Zamknięty i Odrzucony)</t>
  </si>
  <si>
    <t xml:space="preserve">OCENA</t>
  </si>
  <si>
    <t xml:space="preserve">Zakres wykonanych prac i odstępstwa od planu</t>
  </si>
  <si>
    <t xml:space="preserve">Przegląd specyfikacji (11 uwag), 17 warunków, 30 przypadków (wszystkie wykonane), sesja eksploracyjna 20 min, lista kontrolna 12 pozycji. Bez odstępstw od planu.</t>
  </si>
  <si>
    <t xml:space="preserve">Najważniejsze problemy i ryzyka</t>
  </si>
  <si>
    <t xml:space="preserve">Błędne kwoty do zapłaty: rabat 20% zamiast 15% (DEF-004), brak ulgi dla 65-latków (DEF-003); brak limitu 10 biletów (DEF-002). Niejasne wymagania CEN-05 i CEN-06.</t>
  </si>
  <si>
    <t xml:space="preserve">Kryteria wyjścia spełnione?</t>
  </si>
  <si>
    <t xml:space="preserve">Częściowo</t>
  </si>
  <si>
    <t xml:space="preserve">Odnieś się do kryteriów z planu testów.</t>
  </si>
  <si>
    <t xml:space="preserve">Rekomendacja</t>
  </si>
  <si>
    <t xml:space="preserve">Nie wydawać wersji 1.0 do czasu naprawy DEF-002, DEF-003 i DEF-004 i wykonania retestów; doprecyzować REQ-CEN-05 i REQ-CEN-06.</t>
  </si>
  <si>
    <t xml:space="preserve">Wnioski na przyszłość (lessons learned)</t>
  </si>
  <si>
    <t xml:space="preserve">AWB na granicach wieku i liczby biletów wykryła 2 z 5 defektów funkcjonalnych – warto ją stosować od początku; lista kontrolna znalazła usterki, których nie obejmowały przypadki.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</si>
</sst>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33.75" hidden="false" customHeight="true" outlineLevel="0" collapsed="false">
      <c r="A1" s="2" t="s">
        <v>0</v>
      </c>
      <c r="B1" s="3" t="s">
        <v>1</v>
      </c>
    </row>
    <row r="2" customFormat="false" ht="27.75" hidden="false" customHeight="true" outlineLevel="0" collapsed="false">
      <c r="A2" s="4" t="s">
        <v>2</v>
      </c>
      <c r="B2" s="5" t="s">
        <v>3</v>
      </c>
    </row>
    <row r="3" customFormat="false" ht="15" hidden="false" customHeight="true" outlineLevel="0" collapsed="false">
      <c r="A3" s="4" t="s">
        <v>4</v>
      </c>
      <c r="B3" s="5" t="s">
        <v>5</v>
      </c>
    </row>
    <row r="4" customFormat="false" ht="27.75" hidden="false" customHeight="true" outlineLevel="0" collapsed="false">
      <c r="A4" s="4" t="s">
        <v>6</v>
      </c>
      <c r="B4" s="5" t="s">
        <v>7</v>
      </c>
    </row>
    <row r="5" customFormat="false" ht="15" hidden="false" customHeight="true" outlineLevel="0" collapsed="false">
      <c r="A5" s="4"/>
      <c r="B5" s="5"/>
    </row>
    <row r="6" customFormat="false" ht="15" hidden="false" customHeight="true" outlineLevel="0" collapsed="false">
      <c r="A6" s="6" t="s">
        <v>8</v>
      </c>
      <c r="B6" s="5"/>
    </row>
    <row r="7" customFormat="false" ht="27.75" hidden="false" customHeight="true" outlineLevel="0" collapsed="false">
      <c r="A7" s="4" t="s">
        <v>9</v>
      </c>
      <c r="B7" s="5" t="s">
        <v>10</v>
      </c>
    </row>
    <row r="8" customFormat="false" ht="15" hidden="false" customHeight="true" outlineLevel="0" collapsed="false">
      <c r="A8" s="4" t="s">
        <v>11</v>
      </c>
      <c r="B8" s="5" t="s">
        <v>12</v>
      </c>
    </row>
    <row r="9" customFormat="false" ht="27.75" hidden="false" customHeight="true" outlineLevel="0" collapsed="false">
      <c r="A9" s="4" t="s">
        <v>13</v>
      </c>
      <c r="B9" s="5" t="s">
        <v>14</v>
      </c>
    </row>
    <row r="10" customFormat="false" ht="27.75" hidden="false" customHeight="true" outlineLevel="0" collapsed="false">
      <c r="A10" s="4" t="s">
        <v>15</v>
      </c>
      <c r="B10" s="5" t="s">
        <v>16</v>
      </c>
    </row>
    <row r="11" customFormat="false" ht="15" hidden="false" customHeight="true" outlineLevel="0" collapsed="false">
      <c r="A11" s="4" t="s">
        <v>17</v>
      </c>
      <c r="B11" s="5" t="s">
        <v>18</v>
      </c>
    </row>
    <row r="12" customFormat="false" ht="27.75" hidden="false" customHeight="true" outlineLevel="0" collapsed="false">
      <c r="A12" s="4" t="s">
        <v>19</v>
      </c>
      <c r="B12" s="5" t="s">
        <v>20</v>
      </c>
    </row>
    <row r="13" customFormat="false" ht="27.75" hidden="false" customHeight="true" outlineLevel="0" collapsed="false">
      <c r="A13" s="4" t="s">
        <v>21</v>
      </c>
      <c r="B13" s="5" t="s">
        <v>22</v>
      </c>
    </row>
    <row r="14" customFormat="false" ht="15" hidden="false" customHeight="true" outlineLevel="0" collapsed="false">
      <c r="A14" s="4" t="s">
        <v>23</v>
      </c>
      <c r="B14" s="5" t="s">
        <v>24</v>
      </c>
    </row>
    <row r="15" customFormat="false" ht="15" hidden="false" customHeight="true" outlineLevel="0" collapsed="false">
      <c r="A15" s="4"/>
      <c r="B15" s="5"/>
    </row>
    <row r="16" customFormat="false" ht="41.25" hidden="false" customHeight="true" outlineLevel="0" collapsed="false">
      <c r="A16" s="6" t="s">
        <v>25</v>
      </c>
      <c r="B16" s="5" t="s">
        <v>26</v>
      </c>
    </row>
    <row r="17" customFormat="false" ht="41.25" hidden="false" customHeight="true" outlineLevel="0" collapsed="false">
      <c r="A17" s="4" t="s">
        <v>27</v>
      </c>
      <c r="B17" s="5" t="s">
        <v>28</v>
      </c>
    </row>
    <row r="18" customFormat="false" ht="41.25" hidden="false" customHeight="true" outlineLevel="0" collapsed="false">
      <c r="A18" s="4" t="s">
        <v>29</v>
      </c>
      <c r="B18" s="5" t="s">
        <v>30</v>
      </c>
    </row>
    <row r="19" customFormat="false" ht="27.75" hidden="false" customHeight="true" outlineLevel="0" collapsed="false">
      <c r="A19" s="6" t="s">
        <v>31</v>
      </c>
      <c r="B19" s="5" t="s">
        <v>32</v>
      </c>
    </row>
    <row r="20" customFormat="false" ht="27.75" hidden="false" customHeight="true" outlineLevel="0" collapsed="false">
      <c r="A20" s="6" t="s">
        <v>33</v>
      </c>
      <c r="B20" s="5" t="s">
        <v>34</v>
      </c>
    </row>
    <row r="21" customFormat="false" ht="15" hidden="false" customHeight="true" outlineLevel="0" collapsed="false">
      <c r="A21" s="4" t="s">
        <v>35</v>
      </c>
      <c r="B21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5" min="4" style="1" width="50"/>
  </cols>
  <sheetData>
    <row r="1" customFormat="false" ht="31.5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</row>
    <row r="2" customFormat="false" ht="27.75" hidden="false" customHeight="true" outlineLevel="0" collapsed="false">
      <c r="A2" s="8" t="n">
        <v>1</v>
      </c>
      <c r="B2" s="8" t="s">
        <v>42</v>
      </c>
      <c r="C2" s="9" t="s">
        <v>43</v>
      </c>
      <c r="D2" s="8" t="s">
        <v>44</v>
      </c>
      <c r="E2" s="8" t="s">
        <v>45</v>
      </c>
    </row>
    <row r="3" customFormat="false" ht="28.35" hidden="false" customHeight="false" outlineLevel="0" collapsed="false">
      <c r="A3" s="5" t="n">
        <v>2</v>
      </c>
      <c r="B3" s="5" t="s">
        <v>42</v>
      </c>
      <c r="C3" s="5" t="s">
        <v>46</v>
      </c>
      <c r="D3" s="5" t="s">
        <v>47</v>
      </c>
      <c r="E3" s="5" t="s">
        <v>48</v>
      </c>
    </row>
    <row r="4" customFormat="false" ht="28.35" hidden="false" customHeight="false" outlineLevel="0" collapsed="false">
      <c r="A4" s="5" t="n">
        <v>3</v>
      </c>
      <c r="B4" s="5" t="s">
        <v>49</v>
      </c>
      <c r="C4" s="5" t="s">
        <v>43</v>
      </c>
      <c r="D4" s="5" t="s">
        <v>50</v>
      </c>
      <c r="E4" s="5" t="s">
        <v>51</v>
      </c>
    </row>
    <row r="5" customFormat="false" ht="28.35" hidden="false" customHeight="false" outlineLevel="0" collapsed="false">
      <c r="A5" s="5" t="n">
        <v>4</v>
      </c>
      <c r="B5" s="5" t="s">
        <v>52</v>
      </c>
      <c r="C5" s="5" t="s">
        <v>53</v>
      </c>
      <c r="D5" s="5" t="s">
        <v>54</v>
      </c>
      <c r="E5" s="5" t="s">
        <v>55</v>
      </c>
    </row>
    <row r="6" customFormat="false" ht="41.75" hidden="false" customHeight="false" outlineLevel="0" collapsed="false">
      <c r="A6" s="5" t="n">
        <v>5</v>
      </c>
      <c r="B6" s="5" t="s">
        <v>56</v>
      </c>
      <c r="C6" s="5" t="s">
        <v>43</v>
      </c>
      <c r="D6" s="5" t="s">
        <v>57</v>
      </c>
      <c r="E6" s="5" t="s">
        <v>58</v>
      </c>
    </row>
    <row r="7" customFormat="false" ht="28.35" hidden="false" customHeight="false" outlineLevel="0" collapsed="false">
      <c r="A7" s="5" t="n">
        <v>6</v>
      </c>
      <c r="B7" s="5" t="s">
        <v>59</v>
      </c>
      <c r="C7" s="5" t="s">
        <v>60</v>
      </c>
      <c r="D7" s="5" t="s">
        <v>61</v>
      </c>
      <c r="E7" s="5" t="s">
        <v>62</v>
      </c>
    </row>
    <row r="8" customFormat="false" ht="41.75" hidden="false" customHeight="false" outlineLevel="0" collapsed="false">
      <c r="A8" s="5" t="n">
        <v>7</v>
      </c>
      <c r="B8" s="5" t="s">
        <v>63</v>
      </c>
      <c r="C8" s="5" t="s">
        <v>43</v>
      </c>
      <c r="D8" s="5" t="s">
        <v>64</v>
      </c>
      <c r="E8" s="5" t="s">
        <v>65</v>
      </c>
    </row>
    <row r="9" customFormat="false" ht="41.75" hidden="false" customHeight="false" outlineLevel="0" collapsed="false">
      <c r="A9" s="5" t="n">
        <v>8</v>
      </c>
      <c r="B9" s="5" t="s">
        <v>63</v>
      </c>
      <c r="C9" s="5" t="s">
        <v>66</v>
      </c>
      <c r="D9" s="5" t="s">
        <v>67</v>
      </c>
      <c r="E9" s="5" t="s">
        <v>68</v>
      </c>
    </row>
    <row r="10" customFormat="false" ht="28.35" hidden="false" customHeight="false" outlineLevel="0" collapsed="false">
      <c r="A10" s="5" t="n">
        <v>9</v>
      </c>
      <c r="B10" s="5" t="s">
        <v>69</v>
      </c>
      <c r="C10" s="5" t="s">
        <v>46</v>
      </c>
      <c r="D10" s="5" t="s">
        <v>70</v>
      </c>
      <c r="E10" s="5" t="s">
        <v>71</v>
      </c>
    </row>
    <row r="11" customFormat="false" ht="28.35" hidden="false" customHeight="false" outlineLevel="0" collapsed="false">
      <c r="A11" s="5" t="n">
        <v>10</v>
      </c>
      <c r="B11" s="5" t="s">
        <v>72</v>
      </c>
      <c r="C11" s="5" t="s">
        <v>46</v>
      </c>
      <c r="D11" s="5" t="s">
        <v>73</v>
      </c>
      <c r="E11" s="5" t="s">
        <v>74</v>
      </c>
    </row>
    <row r="12" customFormat="false" ht="28.35" hidden="false" customHeight="false" outlineLevel="0" collapsed="false">
      <c r="A12" s="5" t="n">
        <v>11</v>
      </c>
      <c r="B12" s="5" t="s">
        <v>75</v>
      </c>
      <c r="C12" s="5" t="s">
        <v>46</v>
      </c>
      <c r="D12" s="5" t="s">
        <v>76</v>
      </c>
      <c r="E12" s="5" t="s">
        <v>77</v>
      </c>
    </row>
  </sheetData>
  <autoFilter ref="A1:E1"/>
  <dataValidations count="1">
    <dataValidation allowBlank="true" error="Wybierz wartość z listy rozwijanej." errorStyle="stop" errorTitle="Rodzaj problemu" operator="between" prompt="Wybierz z listy" promptTitle="Rodzaj problemu" showDropDown="false" showErrorMessage="true" showInputMessage="false" sqref="C2:C200" type="list">
      <formula1>"Niejednoznaczność,Brak (niekompletne),Sprzeczność,Nietestowalne,Inne"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5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40"/>
  </cols>
  <sheetData>
    <row r="1" customFormat="false" ht="31.5" hidden="false" customHeight="true" outlineLevel="0" collapsed="false">
      <c r="A1" s="7" t="s">
        <v>78</v>
      </c>
      <c r="B1" s="7" t="s">
        <v>79</v>
      </c>
      <c r="C1" s="7" t="s">
        <v>38</v>
      </c>
      <c r="D1" s="7" t="s">
        <v>80</v>
      </c>
      <c r="E1" s="7" t="s">
        <v>81</v>
      </c>
    </row>
    <row r="2" customFormat="false" ht="15" hidden="false" customHeight="true" outlineLevel="0" collapsed="false">
      <c r="A2" s="8" t="s">
        <v>82</v>
      </c>
      <c r="B2" s="8" t="s">
        <v>83</v>
      </c>
      <c r="C2" s="8" t="s">
        <v>84</v>
      </c>
      <c r="D2" s="9" t="s">
        <v>85</v>
      </c>
      <c r="E2" s="8" t="s">
        <v>86</v>
      </c>
    </row>
    <row r="3" customFormat="false" ht="15" hidden="false" customHeight="false" outlineLevel="0" collapsed="false">
      <c r="A3" s="5" t="s">
        <v>87</v>
      </c>
      <c r="B3" s="5" t="s">
        <v>88</v>
      </c>
      <c r="C3" s="5" t="s">
        <v>42</v>
      </c>
      <c r="D3" s="5" t="s">
        <v>85</v>
      </c>
      <c r="E3" s="5"/>
    </row>
    <row r="4" customFormat="false" ht="15" hidden="false" customHeight="false" outlineLevel="0" collapsed="false">
      <c r="A4" s="5" t="s">
        <v>89</v>
      </c>
      <c r="B4" s="5" t="s">
        <v>90</v>
      </c>
      <c r="C4" s="5" t="s">
        <v>42</v>
      </c>
      <c r="D4" s="5" t="s">
        <v>85</v>
      </c>
      <c r="E4" s="5"/>
    </row>
    <row r="5" customFormat="false" ht="15" hidden="false" customHeight="false" outlineLevel="0" collapsed="false">
      <c r="A5" s="5" t="s">
        <v>91</v>
      </c>
      <c r="B5" s="5" t="s">
        <v>92</v>
      </c>
      <c r="C5" s="5" t="s">
        <v>42</v>
      </c>
      <c r="D5" s="5" t="s">
        <v>85</v>
      </c>
      <c r="E5" s="5"/>
    </row>
    <row r="6" customFormat="false" ht="15" hidden="false" customHeight="false" outlineLevel="0" collapsed="false">
      <c r="A6" s="5" t="s">
        <v>93</v>
      </c>
      <c r="B6" s="5" t="s">
        <v>94</v>
      </c>
      <c r="C6" s="5" t="s">
        <v>49</v>
      </c>
      <c r="D6" s="5" t="s">
        <v>85</v>
      </c>
      <c r="E6" s="5"/>
    </row>
    <row r="7" customFormat="false" ht="15" hidden="false" customHeight="false" outlineLevel="0" collapsed="false">
      <c r="A7" s="5" t="s">
        <v>95</v>
      </c>
      <c r="B7" s="5" t="s">
        <v>96</v>
      </c>
      <c r="C7" s="5" t="s">
        <v>52</v>
      </c>
      <c r="D7" s="5" t="s">
        <v>97</v>
      </c>
      <c r="E7" s="5"/>
    </row>
    <row r="8" customFormat="false" ht="15" hidden="false" customHeight="false" outlineLevel="0" collapsed="false">
      <c r="A8" s="5" t="s">
        <v>98</v>
      </c>
      <c r="B8" s="5" t="s">
        <v>99</v>
      </c>
      <c r="C8" s="5" t="s">
        <v>100</v>
      </c>
      <c r="D8" s="5" t="s">
        <v>97</v>
      </c>
      <c r="E8" s="5"/>
    </row>
    <row r="9" customFormat="false" ht="15" hidden="false" customHeight="false" outlineLevel="0" collapsed="false">
      <c r="A9" s="5" t="s">
        <v>101</v>
      </c>
      <c r="B9" s="5" t="s">
        <v>102</v>
      </c>
      <c r="C9" s="5" t="s">
        <v>103</v>
      </c>
      <c r="D9" s="5" t="s">
        <v>104</v>
      </c>
      <c r="E9" s="5"/>
    </row>
    <row r="10" customFormat="false" ht="15" hidden="false" customHeight="false" outlineLevel="0" collapsed="false">
      <c r="A10" s="5" t="s">
        <v>105</v>
      </c>
      <c r="B10" s="5" t="s">
        <v>106</v>
      </c>
      <c r="C10" s="5" t="s">
        <v>75</v>
      </c>
      <c r="D10" s="5" t="s">
        <v>85</v>
      </c>
      <c r="E10" s="5"/>
    </row>
    <row r="11" customFormat="false" ht="28.35" hidden="false" customHeight="false" outlineLevel="0" collapsed="false">
      <c r="A11" s="5" t="s">
        <v>107</v>
      </c>
      <c r="B11" s="5" t="s">
        <v>108</v>
      </c>
      <c r="C11" s="5" t="s">
        <v>109</v>
      </c>
      <c r="D11" s="5" t="s">
        <v>97</v>
      </c>
      <c r="E11" s="5"/>
    </row>
    <row r="12" customFormat="false" ht="15" hidden="false" customHeight="false" outlineLevel="0" collapsed="false">
      <c r="A12" s="5" t="s">
        <v>110</v>
      </c>
      <c r="B12" s="5" t="s">
        <v>111</v>
      </c>
      <c r="C12" s="5" t="s">
        <v>112</v>
      </c>
      <c r="D12" s="5" t="s">
        <v>97</v>
      </c>
      <c r="E12" s="5"/>
    </row>
    <row r="13" customFormat="false" ht="15" hidden="false" customHeight="false" outlineLevel="0" collapsed="false">
      <c r="A13" s="5" t="s">
        <v>113</v>
      </c>
      <c r="B13" s="5" t="s">
        <v>114</v>
      </c>
      <c r="C13" s="5" t="s">
        <v>59</v>
      </c>
      <c r="D13" s="5" t="s">
        <v>97</v>
      </c>
      <c r="E13" s="5"/>
    </row>
    <row r="14" customFormat="false" ht="15" hidden="false" customHeight="false" outlineLevel="0" collapsed="false">
      <c r="A14" s="5" t="s">
        <v>115</v>
      </c>
      <c r="B14" s="5" t="s">
        <v>116</v>
      </c>
      <c r="C14" s="5" t="s">
        <v>117</v>
      </c>
      <c r="D14" s="5" t="s">
        <v>97</v>
      </c>
      <c r="E14" s="5"/>
    </row>
    <row r="15" customFormat="false" ht="15" hidden="false" customHeight="false" outlineLevel="0" collapsed="false">
      <c r="A15" s="5" t="s">
        <v>118</v>
      </c>
      <c r="B15" s="5" t="s">
        <v>119</v>
      </c>
      <c r="C15" s="5" t="s">
        <v>72</v>
      </c>
      <c r="D15" s="5" t="s">
        <v>85</v>
      </c>
      <c r="E15" s="5"/>
    </row>
    <row r="16" customFormat="false" ht="15" hidden="false" customHeight="false" outlineLevel="0" collapsed="false">
      <c r="A16" s="5" t="s">
        <v>120</v>
      </c>
      <c r="B16" s="5" t="s">
        <v>121</v>
      </c>
      <c r="C16" s="5" t="s">
        <v>63</v>
      </c>
      <c r="D16" s="5" t="s">
        <v>97</v>
      </c>
      <c r="E16" s="5"/>
    </row>
    <row r="17" customFormat="false" ht="15" hidden="false" customHeight="false" outlineLevel="0" collapsed="false">
      <c r="A17" s="5" t="s">
        <v>122</v>
      </c>
      <c r="B17" s="5" t="s">
        <v>123</v>
      </c>
      <c r="C17" s="5" t="s">
        <v>69</v>
      </c>
      <c r="D17" s="5" t="s">
        <v>97</v>
      </c>
      <c r="E17" s="5"/>
    </row>
    <row r="18" customFormat="false" ht="15" hidden="false" customHeight="false" outlineLevel="0" collapsed="false">
      <c r="A18" s="5" t="s">
        <v>124</v>
      </c>
      <c r="B18" s="5" t="s">
        <v>125</v>
      </c>
      <c r="C18" s="5" t="s">
        <v>126</v>
      </c>
      <c r="D18" s="5" t="s">
        <v>104</v>
      </c>
      <c r="E18" s="5"/>
    </row>
  </sheetData>
  <autoFilter ref="A1:E1"/>
  <dataValidations count="1">
    <dataValidation allowBlank="true" error="Wybierz wartość z listy rozwijanej." errorStyle="stop" errorTitle="Priorytet" operator="between" prompt="Wybierz z listy" promptTitle="Priorytet" showDropDown="false" showErrorMessage="true" showInputMessage="false" sqref="D2:D300" type="list">
      <formula1>"Wysoki,Średni,Niski"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6" min="6" style="1" width="30"/>
    <col collapsed="false" customWidth="true" hidden="false" outlineLevel="0" max="7" min="7" style="1" width="32"/>
    <col collapsed="false" customWidth="true" hidden="false" outlineLevel="0" max="8" min="8" style="1" width="44"/>
    <col collapsed="false" customWidth="true" hidden="false" outlineLevel="0" max="9" min="9" style="1" width="42"/>
    <col collapsed="false" customWidth="true" hidden="false" outlineLevel="0" max="10" min="10" style="1" width="30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5" min="15" style="1" width="28"/>
  </cols>
  <sheetData>
    <row r="1" customFormat="false" ht="31.5" hidden="false" customHeight="true" outlineLevel="0" collapsed="false">
      <c r="A1" s="10" t="s">
        <v>78</v>
      </c>
      <c r="B1" s="10" t="s">
        <v>127</v>
      </c>
      <c r="C1" s="10" t="s">
        <v>38</v>
      </c>
      <c r="D1" s="10" t="s">
        <v>128</v>
      </c>
      <c r="E1" s="10" t="s">
        <v>80</v>
      </c>
      <c r="F1" s="10" t="s">
        <v>129</v>
      </c>
      <c r="G1" s="10" t="s">
        <v>130</v>
      </c>
      <c r="H1" s="10" t="s">
        <v>131</v>
      </c>
      <c r="I1" s="10" t="s">
        <v>132</v>
      </c>
      <c r="J1" s="10" t="s">
        <v>133</v>
      </c>
      <c r="K1" s="10" t="s">
        <v>134</v>
      </c>
      <c r="L1" s="10" t="s">
        <v>135</v>
      </c>
      <c r="M1" s="10" t="s">
        <v>136</v>
      </c>
      <c r="N1" s="10" t="s">
        <v>137</v>
      </c>
      <c r="O1" s="10" t="s">
        <v>81</v>
      </c>
    </row>
    <row r="2" customFormat="false" ht="81.75" hidden="false" customHeight="true" outlineLevel="0" collapsed="false">
      <c r="A2" s="11" t="s">
        <v>138</v>
      </c>
      <c r="B2" s="11" t="s">
        <v>139</v>
      </c>
      <c r="C2" s="11" t="s">
        <v>140</v>
      </c>
      <c r="D2" s="11" t="s">
        <v>141</v>
      </c>
      <c r="E2" s="11" t="s">
        <v>97</v>
      </c>
      <c r="F2" s="11" t="s">
        <v>142</v>
      </c>
      <c r="G2" s="11" t="s">
        <v>143</v>
      </c>
      <c r="H2" s="11" t="s">
        <v>144</v>
      </c>
      <c r="I2" s="11" t="s">
        <v>145</v>
      </c>
      <c r="J2" s="11" t="s">
        <v>146</v>
      </c>
      <c r="K2" s="11" t="s">
        <v>147</v>
      </c>
      <c r="L2" s="11"/>
      <c r="M2" s="11" t="s">
        <v>3</v>
      </c>
      <c r="N2" s="11" t="s">
        <v>148</v>
      </c>
      <c r="O2" s="11" t="s">
        <v>86</v>
      </c>
    </row>
    <row r="3" customFormat="false" ht="82.05" hidden="false" customHeight="false" outlineLevel="0" collapsed="false">
      <c r="A3" s="5" t="s">
        <v>149</v>
      </c>
      <c r="B3" s="5" t="s">
        <v>150</v>
      </c>
      <c r="C3" s="5" t="s">
        <v>42</v>
      </c>
      <c r="D3" s="5" t="s">
        <v>151</v>
      </c>
      <c r="E3" s="5" t="s">
        <v>85</v>
      </c>
      <c r="F3" s="5" t="s">
        <v>142</v>
      </c>
      <c r="G3" s="5" t="s">
        <v>152</v>
      </c>
      <c r="H3" s="5" t="s">
        <v>144</v>
      </c>
      <c r="I3" s="5" t="s">
        <v>153</v>
      </c>
      <c r="J3" s="5" t="s">
        <v>154</v>
      </c>
      <c r="K3" s="5" t="s">
        <v>147</v>
      </c>
      <c r="L3" s="5"/>
      <c r="M3" s="5" t="s">
        <v>3</v>
      </c>
      <c r="N3" s="5" t="s">
        <v>148</v>
      </c>
      <c r="O3" s="5"/>
    </row>
    <row r="4" customFormat="false" ht="82.05" hidden="false" customHeight="false" outlineLevel="0" collapsed="false">
      <c r="A4" s="5" t="s">
        <v>155</v>
      </c>
      <c r="B4" s="5" t="s">
        <v>156</v>
      </c>
      <c r="C4" s="5" t="s">
        <v>42</v>
      </c>
      <c r="D4" s="5" t="s">
        <v>151</v>
      </c>
      <c r="E4" s="5" t="s">
        <v>85</v>
      </c>
      <c r="F4" s="5" t="s">
        <v>142</v>
      </c>
      <c r="G4" s="5" t="s">
        <v>157</v>
      </c>
      <c r="H4" s="5" t="s">
        <v>144</v>
      </c>
      <c r="I4" s="5" t="s">
        <v>145</v>
      </c>
      <c r="J4" s="5" t="s">
        <v>146</v>
      </c>
      <c r="K4" s="5" t="s">
        <v>147</v>
      </c>
      <c r="L4" s="5"/>
      <c r="M4" s="5" t="s">
        <v>3</v>
      </c>
      <c r="N4" s="5" t="s">
        <v>148</v>
      </c>
      <c r="O4" s="5"/>
    </row>
    <row r="5" customFormat="false" ht="108.95" hidden="false" customHeight="false" outlineLevel="0" collapsed="false">
      <c r="A5" s="5" t="s">
        <v>158</v>
      </c>
      <c r="B5" s="5" t="s">
        <v>159</v>
      </c>
      <c r="C5" s="5" t="s">
        <v>42</v>
      </c>
      <c r="D5" s="5" t="s">
        <v>151</v>
      </c>
      <c r="E5" s="5" t="s">
        <v>85</v>
      </c>
      <c r="F5" s="5" t="s">
        <v>142</v>
      </c>
      <c r="G5" s="5" t="s">
        <v>160</v>
      </c>
      <c r="H5" s="5" t="s">
        <v>144</v>
      </c>
      <c r="I5" s="5" t="s">
        <v>145</v>
      </c>
      <c r="J5" s="5" t="s">
        <v>146</v>
      </c>
      <c r="K5" s="5" t="s">
        <v>147</v>
      </c>
      <c r="L5" s="5"/>
      <c r="M5" s="5" t="s">
        <v>3</v>
      </c>
      <c r="N5" s="5" t="s">
        <v>148</v>
      </c>
      <c r="O5" s="5"/>
    </row>
    <row r="6" customFormat="false" ht="108.95" hidden="false" customHeight="false" outlineLevel="0" collapsed="false">
      <c r="A6" s="5" t="s">
        <v>161</v>
      </c>
      <c r="B6" s="5" t="s">
        <v>162</v>
      </c>
      <c r="C6" s="5" t="s">
        <v>42</v>
      </c>
      <c r="D6" s="5" t="s">
        <v>151</v>
      </c>
      <c r="E6" s="5" t="s">
        <v>85</v>
      </c>
      <c r="F6" s="5" t="s">
        <v>142</v>
      </c>
      <c r="G6" s="5" t="s">
        <v>163</v>
      </c>
      <c r="H6" s="5" t="s">
        <v>144</v>
      </c>
      <c r="I6" s="5" t="s">
        <v>153</v>
      </c>
      <c r="J6" s="5" t="s">
        <v>154</v>
      </c>
      <c r="K6" s="5" t="s">
        <v>147</v>
      </c>
      <c r="L6" s="5"/>
      <c r="M6" s="5" t="s">
        <v>3</v>
      </c>
      <c r="N6" s="5" t="s">
        <v>148</v>
      </c>
      <c r="O6" s="5"/>
    </row>
    <row r="7" customFormat="false" ht="82.05" hidden="false" customHeight="false" outlineLevel="0" collapsed="false">
      <c r="A7" s="5" t="s">
        <v>164</v>
      </c>
      <c r="B7" s="5" t="s">
        <v>165</v>
      </c>
      <c r="C7" s="5" t="s">
        <v>42</v>
      </c>
      <c r="D7" s="5" t="s">
        <v>141</v>
      </c>
      <c r="E7" s="5" t="s">
        <v>85</v>
      </c>
      <c r="F7" s="5" t="s">
        <v>142</v>
      </c>
      <c r="G7" s="5" t="s">
        <v>166</v>
      </c>
      <c r="H7" s="5" t="s">
        <v>144</v>
      </c>
      <c r="I7" s="5" t="s">
        <v>153</v>
      </c>
      <c r="J7" s="5" t="s">
        <v>167</v>
      </c>
      <c r="K7" s="5" t="s">
        <v>168</v>
      </c>
      <c r="L7" s="5" t="s">
        <v>169</v>
      </c>
      <c r="M7" s="5" t="s">
        <v>3</v>
      </c>
      <c r="N7" s="5" t="s">
        <v>148</v>
      </c>
      <c r="O7" s="5"/>
    </row>
    <row r="8" customFormat="false" ht="82.05" hidden="false" customHeight="false" outlineLevel="0" collapsed="false">
      <c r="A8" s="5" t="s">
        <v>170</v>
      </c>
      <c r="B8" s="5" t="s">
        <v>171</v>
      </c>
      <c r="C8" s="5" t="s">
        <v>42</v>
      </c>
      <c r="D8" s="5" t="s">
        <v>141</v>
      </c>
      <c r="E8" s="5" t="s">
        <v>85</v>
      </c>
      <c r="F8" s="5" t="s">
        <v>142</v>
      </c>
      <c r="G8" s="5" t="s">
        <v>172</v>
      </c>
      <c r="H8" s="5" t="s">
        <v>144</v>
      </c>
      <c r="I8" s="5" t="s">
        <v>145</v>
      </c>
      <c r="J8" s="5" t="s">
        <v>146</v>
      </c>
      <c r="K8" s="5" t="s">
        <v>147</v>
      </c>
      <c r="L8" s="5"/>
      <c r="M8" s="5" t="s">
        <v>3</v>
      </c>
      <c r="N8" s="5" t="s">
        <v>148</v>
      </c>
      <c r="O8" s="5"/>
    </row>
    <row r="9" customFormat="false" ht="82.05" hidden="false" customHeight="false" outlineLevel="0" collapsed="false">
      <c r="A9" s="5" t="s">
        <v>173</v>
      </c>
      <c r="B9" s="5" t="s">
        <v>174</v>
      </c>
      <c r="C9" s="5" t="s">
        <v>49</v>
      </c>
      <c r="D9" s="5" t="s">
        <v>141</v>
      </c>
      <c r="E9" s="5" t="s">
        <v>85</v>
      </c>
      <c r="F9" s="5" t="s">
        <v>142</v>
      </c>
      <c r="G9" s="5" t="s">
        <v>175</v>
      </c>
      <c r="H9" s="5" t="s">
        <v>144</v>
      </c>
      <c r="I9" s="5" t="s">
        <v>176</v>
      </c>
      <c r="J9" s="5" t="s">
        <v>154</v>
      </c>
      <c r="K9" s="5" t="s">
        <v>147</v>
      </c>
      <c r="L9" s="5"/>
      <c r="M9" s="5" t="s">
        <v>3</v>
      </c>
      <c r="N9" s="5" t="s">
        <v>148</v>
      </c>
      <c r="O9" s="5"/>
    </row>
    <row r="10" customFormat="false" ht="82.05" hidden="false" customHeight="false" outlineLevel="0" collapsed="false">
      <c r="A10" s="5" t="s">
        <v>177</v>
      </c>
      <c r="B10" s="5" t="s">
        <v>178</v>
      </c>
      <c r="C10" s="5" t="s">
        <v>52</v>
      </c>
      <c r="D10" s="5" t="s">
        <v>151</v>
      </c>
      <c r="E10" s="5" t="s">
        <v>97</v>
      </c>
      <c r="F10" s="5" t="s">
        <v>142</v>
      </c>
      <c r="G10" s="5" t="s">
        <v>179</v>
      </c>
      <c r="H10" s="5" t="s">
        <v>144</v>
      </c>
      <c r="I10" s="5" t="s">
        <v>180</v>
      </c>
      <c r="J10" s="5" t="s">
        <v>154</v>
      </c>
      <c r="K10" s="5" t="s">
        <v>147</v>
      </c>
      <c r="L10" s="5"/>
      <c r="M10" s="5" t="s">
        <v>3</v>
      </c>
      <c r="N10" s="5" t="s">
        <v>148</v>
      </c>
      <c r="O10" s="5"/>
    </row>
    <row r="11" customFormat="false" ht="82.05" hidden="false" customHeight="false" outlineLevel="0" collapsed="false">
      <c r="A11" s="5" t="s">
        <v>181</v>
      </c>
      <c r="B11" s="5" t="s">
        <v>182</v>
      </c>
      <c r="C11" s="5" t="s">
        <v>52</v>
      </c>
      <c r="D11" s="5" t="s">
        <v>151</v>
      </c>
      <c r="E11" s="5" t="s">
        <v>97</v>
      </c>
      <c r="F11" s="5" t="s">
        <v>142</v>
      </c>
      <c r="G11" s="5" t="s">
        <v>183</v>
      </c>
      <c r="H11" s="5" t="s">
        <v>144</v>
      </c>
      <c r="I11" s="5" t="s">
        <v>180</v>
      </c>
      <c r="J11" s="5" t="s">
        <v>154</v>
      </c>
      <c r="K11" s="5" t="s">
        <v>147</v>
      </c>
      <c r="L11" s="5"/>
      <c r="M11" s="5" t="s">
        <v>3</v>
      </c>
      <c r="N11" s="5" t="s">
        <v>148</v>
      </c>
      <c r="O11" s="5"/>
    </row>
    <row r="12" customFormat="false" ht="82.05" hidden="false" customHeight="false" outlineLevel="0" collapsed="false">
      <c r="A12" s="5" t="s">
        <v>184</v>
      </c>
      <c r="B12" s="5" t="s">
        <v>185</v>
      </c>
      <c r="C12" s="5" t="s">
        <v>52</v>
      </c>
      <c r="D12" s="5" t="s">
        <v>141</v>
      </c>
      <c r="E12" s="5" t="s">
        <v>85</v>
      </c>
      <c r="F12" s="5" t="s">
        <v>142</v>
      </c>
      <c r="G12" s="5" t="s">
        <v>186</v>
      </c>
      <c r="H12" s="5" t="s">
        <v>144</v>
      </c>
      <c r="I12" s="5" t="s">
        <v>180</v>
      </c>
      <c r="J12" s="5" t="s">
        <v>154</v>
      </c>
      <c r="K12" s="5" t="s">
        <v>147</v>
      </c>
      <c r="L12" s="5"/>
      <c r="M12" s="5" t="s">
        <v>3</v>
      </c>
      <c r="N12" s="5" t="s">
        <v>148</v>
      </c>
      <c r="O12" s="5"/>
    </row>
    <row r="13" customFormat="false" ht="82.05" hidden="false" customHeight="false" outlineLevel="0" collapsed="false">
      <c r="A13" s="5" t="s">
        <v>187</v>
      </c>
      <c r="B13" s="5" t="s">
        <v>188</v>
      </c>
      <c r="C13" s="5" t="s">
        <v>100</v>
      </c>
      <c r="D13" s="5" t="s">
        <v>151</v>
      </c>
      <c r="E13" s="5" t="s">
        <v>97</v>
      </c>
      <c r="F13" s="5" t="s">
        <v>142</v>
      </c>
      <c r="G13" s="5" t="s">
        <v>189</v>
      </c>
      <c r="H13" s="5" t="s">
        <v>144</v>
      </c>
      <c r="I13" s="5" t="s">
        <v>190</v>
      </c>
      <c r="J13" s="5" t="s">
        <v>154</v>
      </c>
      <c r="K13" s="5" t="s">
        <v>147</v>
      </c>
      <c r="L13" s="5"/>
      <c r="M13" s="5" t="s">
        <v>3</v>
      </c>
      <c r="N13" s="5" t="s">
        <v>148</v>
      </c>
      <c r="O13" s="5"/>
    </row>
    <row r="14" customFormat="false" ht="82.05" hidden="false" customHeight="false" outlineLevel="0" collapsed="false">
      <c r="A14" s="5" t="s">
        <v>191</v>
      </c>
      <c r="B14" s="5" t="s">
        <v>192</v>
      </c>
      <c r="C14" s="5" t="s">
        <v>193</v>
      </c>
      <c r="D14" s="5" t="s">
        <v>151</v>
      </c>
      <c r="E14" s="5" t="s">
        <v>97</v>
      </c>
      <c r="F14" s="5" t="s">
        <v>142</v>
      </c>
      <c r="G14" s="5" t="s">
        <v>194</v>
      </c>
      <c r="H14" s="5" t="s">
        <v>144</v>
      </c>
      <c r="I14" s="5" t="s">
        <v>195</v>
      </c>
      <c r="J14" s="5" t="s">
        <v>146</v>
      </c>
      <c r="K14" s="5" t="s">
        <v>147</v>
      </c>
      <c r="L14" s="5"/>
      <c r="M14" s="5" t="s">
        <v>3</v>
      </c>
      <c r="N14" s="5" t="s">
        <v>148</v>
      </c>
      <c r="O14" s="5"/>
    </row>
    <row r="15" customFormat="false" ht="82.05" hidden="false" customHeight="false" outlineLevel="0" collapsed="false">
      <c r="A15" s="5" t="s">
        <v>196</v>
      </c>
      <c r="B15" s="5" t="s">
        <v>197</v>
      </c>
      <c r="C15" s="5" t="s">
        <v>100</v>
      </c>
      <c r="D15" s="5" t="s">
        <v>151</v>
      </c>
      <c r="E15" s="5" t="s">
        <v>97</v>
      </c>
      <c r="F15" s="5" t="s">
        <v>142</v>
      </c>
      <c r="G15" s="5" t="s">
        <v>198</v>
      </c>
      <c r="H15" s="5" t="s">
        <v>144</v>
      </c>
      <c r="I15" s="5" t="s">
        <v>190</v>
      </c>
      <c r="J15" s="5" t="s">
        <v>199</v>
      </c>
      <c r="K15" s="5" t="s">
        <v>168</v>
      </c>
      <c r="L15" s="5" t="s">
        <v>200</v>
      </c>
      <c r="M15" s="5" t="s">
        <v>3</v>
      </c>
      <c r="N15" s="5" t="s">
        <v>148</v>
      </c>
      <c r="O15" s="5"/>
    </row>
    <row r="16" customFormat="false" ht="82.05" hidden="false" customHeight="false" outlineLevel="0" collapsed="false">
      <c r="A16" s="5" t="s">
        <v>201</v>
      </c>
      <c r="B16" s="5" t="s">
        <v>202</v>
      </c>
      <c r="C16" s="5" t="s">
        <v>75</v>
      </c>
      <c r="D16" s="5" t="s">
        <v>203</v>
      </c>
      <c r="E16" s="5" t="s">
        <v>85</v>
      </c>
      <c r="F16" s="5" t="s">
        <v>142</v>
      </c>
      <c r="G16" s="5" t="s">
        <v>204</v>
      </c>
      <c r="H16" s="5" t="s">
        <v>144</v>
      </c>
      <c r="I16" s="5" t="s">
        <v>205</v>
      </c>
      <c r="J16" s="5" t="s">
        <v>154</v>
      </c>
      <c r="K16" s="5" t="s">
        <v>147</v>
      </c>
      <c r="L16" s="5"/>
      <c r="M16" s="5" t="s">
        <v>3</v>
      </c>
      <c r="N16" s="5" t="s">
        <v>148</v>
      </c>
      <c r="O16" s="5"/>
    </row>
    <row r="17" customFormat="false" ht="82.05" hidden="false" customHeight="false" outlineLevel="0" collapsed="false">
      <c r="A17" s="5" t="s">
        <v>206</v>
      </c>
      <c r="B17" s="5" t="s">
        <v>207</v>
      </c>
      <c r="C17" s="5" t="s">
        <v>208</v>
      </c>
      <c r="D17" s="5" t="s">
        <v>209</v>
      </c>
      <c r="E17" s="5" t="s">
        <v>97</v>
      </c>
      <c r="F17" s="5" t="s">
        <v>142</v>
      </c>
      <c r="G17" s="5" t="s">
        <v>210</v>
      </c>
      <c r="H17" s="5" t="s">
        <v>144</v>
      </c>
      <c r="I17" s="5" t="s">
        <v>211</v>
      </c>
      <c r="J17" s="5" t="s">
        <v>212</v>
      </c>
      <c r="K17" s="5" t="s">
        <v>168</v>
      </c>
      <c r="L17" s="5" t="s">
        <v>213</v>
      </c>
      <c r="M17" s="5" t="s">
        <v>3</v>
      </c>
      <c r="N17" s="5" t="s">
        <v>148</v>
      </c>
      <c r="O17" s="5"/>
    </row>
    <row r="18" customFormat="false" ht="82.05" hidden="false" customHeight="false" outlineLevel="0" collapsed="false">
      <c r="A18" s="5" t="s">
        <v>214</v>
      </c>
      <c r="B18" s="5" t="s">
        <v>215</v>
      </c>
      <c r="C18" s="5" t="s">
        <v>216</v>
      </c>
      <c r="D18" s="5" t="s">
        <v>209</v>
      </c>
      <c r="E18" s="5" t="s">
        <v>97</v>
      </c>
      <c r="F18" s="5" t="s">
        <v>142</v>
      </c>
      <c r="G18" s="5" t="s">
        <v>217</v>
      </c>
      <c r="H18" s="5" t="s">
        <v>144</v>
      </c>
      <c r="I18" s="5" t="s">
        <v>218</v>
      </c>
      <c r="J18" s="5" t="s">
        <v>146</v>
      </c>
      <c r="K18" s="5" t="s">
        <v>147</v>
      </c>
      <c r="L18" s="5"/>
      <c r="M18" s="5" t="s">
        <v>3</v>
      </c>
      <c r="N18" s="5" t="s">
        <v>148</v>
      </c>
      <c r="O18" s="5"/>
    </row>
    <row r="19" customFormat="false" ht="82.05" hidden="false" customHeight="false" outlineLevel="0" collapsed="false">
      <c r="A19" s="5" t="s">
        <v>219</v>
      </c>
      <c r="B19" s="5" t="s">
        <v>220</v>
      </c>
      <c r="C19" s="5" t="s">
        <v>216</v>
      </c>
      <c r="D19" s="5" t="s">
        <v>209</v>
      </c>
      <c r="E19" s="5" t="s">
        <v>97</v>
      </c>
      <c r="F19" s="5" t="s">
        <v>142</v>
      </c>
      <c r="G19" s="5" t="s">
        <v>221</v>
      </c>
      <c r="H19" s="5" t="s">
        <v>144</v>
      </c>
      <c r="I19" s="5" t="s">
        <v>222</v>
      </c>
      <c r="J19" s="5" t="s">
        <v>146</v>
      </c>
      <c r="K19" s="5" t="s">
        <v>147</v>
      </c>
      <c r="L19" s="5"/>
      <c r="M19" s="5" t="s">
        <v>3</v>
      </c>
      <c r="N19" s="5" t="s">
        <v>148</v>
      </c>
      <c r="O19" s="5"/>
    </row>
    <row r="20" customFormat="false" ht="82.05" hidden="false" customHeight="false" outlineLevel="0" collapsed="false">
      <c r="A20" s="5" t="s">
        <v>223</v>
      </c>
      <c r="B20" s="5" t="s">
        <v>224</v>
      </c>
      <c r="C20" s="5" t="s">
        <v>117</v>
      </c>
      <c r="D20" s="5" t="s">
        <v>209</v>
      </c>
      <c r="E20" s="5" t="s">
        <v>97</v>
      </c>
      <c r="F20" s="5" t="s">
        <v>142</v>
      </c>
      <c r="G20" s="5" t="s">
        <v>143</v>
      </c>
      <c r="H20" s="5" t="s">
        <v>144</v>
      </c>
      <c r="I20" s="5" t="s">
        <v>145</v>
      </c>
      <c r="J20" s="5" t="s">
        <v>146</v>
      </c>
      <c r="K20" s="5" t="s">
        <v>147</v>
      </c>
      <c r="L20" s="5"/>
      <c r="M20" s="5" t="s">
        <v>3</v>
      </c>
      <c r="N20" s="5" t="s">
        <v>148</v>
      </c>
      <c r="O20" s="5"/>
    </row>
    <row r="21" customFormat="false" ht="82.05" hidden="false" customHeight="false" outlineLevel="0" collapsed="false">
      <c r="A21" s="5" t="s">
        <v>225</v>
      </c>
      <c r="B21" s="5" t="s">
        <v>226</v>
      </c>
      <c r="C21" s="5" t="s">
        <v>72</v>
      </c>
      <c r="D21" s="5" t="s">
        <v>141</v>
      </c>
      <c r="E21" s="5" t="s">
        <v>85</v>
      </c>
      <c r="F21" s="5" t="s">
        <v>142</v>
      </c>
      <c r="G21" s="5" t="s">
        <v>227</v>
      </c>
      <c r="H21" s="5" t="s">
        <v>144</v>
      </c>
      <c r="I21" s="5" t="s">
        <v>222</v>
      </c>
      <c r="J21" s="5" t="s">
        <v>228</v>
      </c>
      <c r="K21" s="5" t="s">
        <v>168</v>
      </c>
      <c r="L21" s="5" t="s">
        <v>229</v>
      </c>
      <c r="M21" s="5" t="s">
        <v>3</v>
      </c>
      <c r="N21" s="5" t="s">
        <v>148</v>
      </c>
      <c r="O21" s="5"/>
    </row>
    <row r="22" customFormat="false" ht="82.05" hidden="false" customHeight="false" outlineLevel="0" collapsed="false">
      <c r="A22" s="5" t="s">
        <v>230</v>
      </c>
      <c r="B22" s="5" t="s">
        <v>231</v>
      </c>
      <c r="C22" s="5" t="s">
        <v>72</v>
      </c>
      <c r="D22" s="5" t="s">
        <v>141</v>
      </c>
      <c r="E22" s="5" t="s">
        <v>85</v>
      </c>
      <c r="F22" s="5" t="s">
        <v>142</v>
      </c>
      <c r="G22" s="5" t="s">
        <v>232</v>
      </c>
      <c r="H22" s="5" t="s">
        <v>144</v>
      </c>
      <c r="I22" s="5" t="s">
        <v>233</v>
      </c>
      <c r="J22" s="5" t="s">
        <v>146</v>
      </c>
      <c r="K22" s="5" t="s">
        <v>147</v>
      </c>
      <c r="L22" s="5"/>
      <c r="M22" s="5" t="s">
        <v>3</v>
      </c>
      <c r="N22" s="5" t="s">
        <v>148</v>
      </c>
      <c r="O22" s="5"/>
    </row>
    <row r="23" customFormat="false" ht="82.05" hidden="false" customHeight="false" outlineLevel="0" collapsed="false">
      <c r="A23" s="5" t="s">
        <v>234</v>
      </c>
      <c r="B23" s="5" t="s">
        <v>235</v>
      </c>
      <c r="C23" s="5" t="s">
        <v>59</v>
      </c>
      <c r="D23" s="5" t="s">
        <v>151</v>
      </c>
      <c r="E23" s="5" t="s">
        <v>97</v>
      </c>
      <c r="F23" s="5" t="s">
        <v>142</v>
      </c>
      <c r="G23" s="5" t="s">
        <v>236</v>
      </c>
      <c r="H23" s="5" t="s">
        <v>144</v>
      </c>
      <c r="I23" s="5" t="s">
        <v>237</v>
      </c>
      <c r="J23" s="5" t="s">
        <v>146</v>
      </c>
      <c r="K23" s="5" t="s">
        <v>147</v>
      </c>
      <c r="L23" s="5"/>
      <c r="M23" s="5" t="s">
        <v>3</v>
      </c>
      <c r="N23" s="5" t="s">
        <v>148</v>
      </c>
      <c r="O23" s="5"/>
    </row>
    <row r="24" customFormat="false" ht="82.05" hidden="false" customHeight="false" outlineLevel="0" collapsed="false">
      <c r="A24" s="5" t="s">
        <v>238</v>
      </c>
      <c r="B24" s="5" t="s">
        <v>239</v>
      </c>
      <c r="C24" s="5" t="s">
        <v>59</v>
      </c>
      <c r="D24" s="5" t="s">
        <v>151</v>
      </c>
      <c r="E24" s="5" t="s">
        <v>97</v>
      </c>
      <c r="F24" s="5" t="s">
        <v>142</v>
      </c>
      <c r="G24" s="5" t="s">
        <v>240</v>
      </c>
      <c r="H24" s="5" t="s">
        <v>144</v>
      </c>
      <c r="I24" s="5" t="s">
        <v>145</v>
      </c>
      <c r="J24" s="5" t="s">
        <v>146</v>
      </c>
      <c r="K24" s="5" t="s">
        <v>147</v>
      </c>
      <c r="L24" s="5"/>
      <c r="M24" s="5" t="s">
        <v>3</v>
      </c>
      <c r="N24" s="5" t="s">
        <v>148</v>
      </c>
      <c r="O24" s="5"/>
    </row>
    <row r="25" customFormat="false" ht="82.05" hidden="false" customHeight="false" outlineLevel="0" collapsed="false">
      <c r="A25" s="5" t="s">
        <v>241</v>
      </c>
      <c r="B25" s="5" t="s">
        <v>242</v>
      </c>
      <c r="C25" s="5" t="s">
        <v>59</v>
      </c>
      <c r="D25" s="5" t="s">
        <v>151</v>
      </c>
      <c r="E25" s="5" t="s">
        <v>97</v>
      </c>
      <c r="F25" s="5" t="s">
        <v>142</v>
      </c>
      <c r="G25" s="5" t="s">
        <v>243</v>
      </c>
      <c r="H25" s="5" t="s">
        <v>144</v>
      </c>
      <c r="I25" s="5" t="s">
        <v>145</v>
      </c>
      <c r="J25" s="5" t="s">
        <v>146</v>
      </c>
      <c r="K25" s="5" t="s">
        <v>147</v>
      </c>
      <c r="L25" s="5"/>
      <c r="M25" s="5" t="s">
        <v>3</v>
      </c>
      <c r="N25" s="5" t="s">
        <v>148</v>
      </c>
      <c r="O25" s="5"/>
    </row>
    <row r="26" customFormat="false" ht="82.05" hidden="false" customHeight="false" outlineLevel="0" collapsed="false">
      <c r="A26" s="5" t="s">
        <v>244</v>
      </c>
      <c r="B26" s="5" t="s">
        <v>245</v>
      </c>
      <c r="C26" s="5" t="s">
        <v>59</v>
      </c>
      <c r="D26" s="5" t="s">
        <v>151</v>
      </c>
      <c r="E26" s="5" t="s">
        <v>97</v>
      </c>
      <c r="F26" s="5" t="s">
        <v>142</v>
      </c>
      <c r="G26" s="5" t="s">
        <v>246</v>
      </c>
      <c r="H26" s="5" t="s">
        <v>144</v>
      </c>
      <c r="I26" s="5" t="s">
        <v>237</v>
      </c>
      <c r="J26" s="5" t="s">
        <v>167</v>
      </c>
      <c r="K26" s="5" t="s">
        <v>168</v>
      </c>
      <c r="L26" s="5" t="s">
        <v>247</v>
      </c>
      <c r="M26" s="5" t="s">
        <v>3</v>
      </c>
      <c r="N26" s="5" t="s">
        <v>148</v>
      </c>
      <c r="O26" s="5"/>
    </row>
    <row r="27" customFormat="false" ht="82.05" hidden="false" customHeight="false" outlineLevel="0" collapsed="false">
      <c r="A27" s="5" t="s">
        <v>248</v>
      </c>
      <c r="B27" s="5" t="s">
        <v>249</v>
      </c>
      <c r="C27" s="5" t="s">
        <v>250</v>
      </c>
      <c r="D27" s="5" t="s">
        <v>151</v>
      </c>
      <c r="E27" s="5" t="s">
        <v>85</v>
      </c>
      <c r="F27" s="5" t="s">
        <v>142</v>
      </c>
      <c r="G27" s="5" t="s">
        <v>251</v>
      </c>
      <c r="H27" s="5" t="s">
        <v>144</v>
      </c>
      <c r="I27" s="5" t="s">
        <v>237</v>
      </c>
      <c r="J27" s="5" t="s">
        <v>146</v>
      </c>
      <c r="K27" s="5" t="s">
        <v>147</v>
      </c>
      <c r="L27" s="5"/>
      <c r="M27" s="5" t="s">
        <v>3</v>
      </c>
      <c r="N27" s="5" t="s">
        <v>148</v>
      </c>
      <c r="O27" s="5"/>
    </row>
    <row r="28" customFormat="false" ht="82.05" hidden="false" customHeight="false" outlineLevel="0" collapsed="false">
      <c r="A28" s="5" t="s">
        <v>252</v>
      </c>
      <c r="B28" s="5" t="s">
        <v>253</v>
      </c>
      <c r="C28" s="5" t="s">
        <v>63</v>
      </c>
      <c r="D28" s="5" t="s">
        <v>151</v>
      </c>
      <c r="E28" s="5" t="s">
        <v>97</v>
      </c>
      <c r="F28" s="5" t="s">
        <v>142</v>
      </c>
      <c r="G28" s="5" t="s">
        <v>254</v>
      </c>
      <c r="H28" s="5" t="s">
        <v>144</v>
      </c>
      <c r="I28" s="5" t="s">
        <v>255</v>
      </c>
      <c r="J28" s="5" t="s">
        <v>146</v>
      </c>
      <c r="K28" s="5" t="s">
        <v>147</v>
      </c>
      <c r="L28" s="5"/>
      <c r="M28" s="5" t="s">
        <v>3</v>
      </c>
      <c r="N28" s="5" t="s">
        <v>148</v>
      </c>
      <c r="O28" s="5"/>
    </row>
    <row r="29" customFormat="false" ht="82.05" hidden="false" customHeight="false" outlineLevel="0" collapsed="false">
      <c r="A29" s="5" t="s">
        <v>256</v>
      </c>
      <c r="B29" s="5" t="s">
        <v>257</v>
      </c>
      <c r="C29" s="5" t="s">
        <v>69</v>
      </c>
      <c r="D29" s="5" t="s">
        <v>203</v>
      </c>
      <c r="E29" s="5" t="s">
        <v>97</v>
      </c>
      <c r="F29" s="5" t="s">
        <v>142</v>
      </c>
      <c r="G29" s="5" t="s">
        <v>258</v>
      </c>
      <c r="H29" s="5" t="s">
        <v>144</v>
      </c>
      <c r="I29" s="5" t="s">
        <v>259</v>
      </c>
      <c r="J29" s="5" t="s">
        <v>146</v>
      </c>
      <c r="K29" s="5" t="s">
        <v>147</v>
      </c>
      <c r="L29" s="5"/>
      <c r="M29" s="5" t="s">
        <v>3</v>
      </c>
      <c r="N29" s="5" t="s">
        <v>148</v>
      </c>
      <c r="O29" s="5"/>
    </row>
    <row r="30" customFormat="false" ht="41.75" hidden="false" customHeight="false" outlineLevel="0" collapsed="false">
      <c r="A30" s="5" t="s">
        <v>260</v>
      </c>
      <c r="B30" s="5" t="s">
        <v>261</v>
      </c>
      <c r="C30" s="5" t="s">
        <v>84</v>
      </c>
      <c r="D30" s="5" t="s">
        <v>203</v>
      </c>
      <c r="E30" s="5" t="s">
        <v>85</v>
      </c>
      <c r="F30" s="5" t="s">
        <v>262</v>
      </c>
      <c r="G30" s="5" t="s">
        <v>263</v>
      </c>
      <c r="H30" s="5" t="s">
        <v>264</v>
      </c>
      <c r="I30" s="5" t="s">
        <v>265</v>
      </c>
      <c r="J30" s="5" t="s">
        <v>266</v>
      </c>
      <c r="K30" s="5" t="s">
        <v>168</v>
      </c>
      <c r="L30" s="5" t="s">
        <v>267</v>
      </c>
      <c r="M30" s="5" t="s">
        <v>3</v>
      </c>
      <c r="N30" s="5" t="s">
        <v>148</v>
      </c>
      <c r="O30" s="5"/>
    </row>
    <row r="31" customFormat="false" ht="82.05" hidden="false" customHeight="false" outlineLevel="0" collapsed="false">
      <c r="A31" s="5" t="s">
        <v>268</v>
      </c>
      <c r="B31" s="5" t="s">
        <v>269</v>
      </c>
      <c r="C31" s="5" t="s">
        <v>126</v>
      </c>
      <c r="D31" s="5" t="s">
        <v>203</v>
      </c>
      <c r="E31" s="5" t="s">
        <v>104</v>
      </c>
      <c r="F31" s="5" t="s">
        <v>270</v>
      </c>
      <c r="G31" s="5" t="s">
        <v>143</v>
      </c>
      <c r="H31" s="5" t="s">
        <v>271</v>
      </c>
      <c r="I31" s="5" t="s">
        <v>272</v>
      </c>
      <c r="J31" s="5" t="s">
        <v>273</v>
      </c>
      <c r="K31" s="5" t="s">
        <v>168</v>
      </c>
      <c r="L31" s="5" t="s">
        <v>274</v>
      </c>
      <c r="M31" s="5" t="s">
        <v>3</v>
      </c>
      <c r="N31" s="5" t="s">
        <v>148</v>
      </c>
      <c r="O31" s="5"/>
    </row>
  </sheetData>
  <autoFilter ref="A1:O1"/>
  <dataValidations count="3">
    <dataValidation allowBlank="true" error="Wybierz wartość z listy rozwijanej." errorStyle="stop" errorTitle="Technika" operator="between" prompt="Wybierz z listy" promptTitle="Technika" showDropDown="false" showErrorMessage="true" showInputMessage="true" sqref="D2:D300" type="list">
      <formula1>"EP,AWB,Tablica decyzyjna,Przejścia stanów,Przypadki użycia,Doświadczenie,Lista kontrolna,Na podstawie wymagania"</formula1>
      <formula2>0</formula2>
    </dataValidation>
    <dataValidation allowBlank="true" error="Wybierz wartość z listy rozwijanej." errorStyle="stop" errorTitle="Priorytet" operator="between" prompt="Wybierz z listy" promptTitle="Priorytet" showDropDown="false" showErrorMessage="true" showInputMessage="true" sqref="E2:E300" type="list">
      <formula1>"Wysoki,Średni,Niski"</formula1>
      <formula2>0</formula2>
    </dataValidation>
    <dataValidation allowBlank="true" error="Wybierz wartość z listy rozwijanej." errorStyle="stop" errorTitle="Status" operator="between" prompt="Wybierz z listy" promptTitle="Status" showDropDown="false" showErrorMessage="true" showInputMessage="true" sqref="K2:K300" type="list">
      <formula1>"Nie wykonano,Zaliczony,Niezaliczony,Zablokowany,Pominięty"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0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36"/>
  </cols>
  <sheetData>
    <row r="1" customFormat="false" ht="31.5" hidden="false" customHeight="true" outlineLevel="0" collapsed="false">
      <c r="A1" s="10" t="s">
        <v>275</v>
      </c>
      <c r="B1" s="10" t="s">
        <v>276</v>
      </c>
      <c r="C1" s="10" t="s">
        <v>80</v>
      </c>
      <c r="D1" s="10" t="s">
        <v>277</v>
      </c>
      <c r="E1" s="10" t="s">
        <v>278</v>
      </c>
      <c r="F1" s="10" t="s">
        <v>279</v>
      </c>
      <c r="G1" s="10" t="s">
        <v>280</v>
      </c>
      <c r="H1" s="10" t="s">
        <v>281</v>
      </c>
      <c r="I1" s="10" t="s">
        <v>81</v>
      </c>
    </row>
    <row r="2" customFormat="false" ht="15" hidden="false" customHeight="true" outlineLevel="0" collapsed="false">
      <c r="A2" s="11" t="s">
        <v>84</v>
      </c>
      <c r="B2" s="11" t="s">
        <v>282</v>
      </c>
      <c r="C2" s="11" t="s">
        <v>85</v>
      </c>
      <c r="D2" s="11" t="s">
        <v>260</v>
      </c>
      <c r="E2" s="12" t="n">
        <f aca="false">IF(A2="","",COUNTIF('Przypadki testowe'!$C$2:$C$300,"*"&amp;A2&amp;"*"))</f>
        <v>1</v>
      </c>
      <c r="F2" s="12" t="n">
        <f aca="false">IF(A2="","",COUNTIFS('Przypadki testowe'!$C$2:$C$300,"*"&amp;A2&amp;"*",'Przypadki testowe'!$K$2:$K$300,"Zaliczony"))</f>
        <v>0</v>
      </c>
      <c r="G2" s="12" t="n">
        <f aca="false">IF(A2="","",COUNTIFS('Przypadki testowe'!$C$2:$C$300,"*"&amp;A2&amp;"*",'Przypadki testowe'!$K$2:$K$300,"Niezaliczony"))</f>
        <v>1</v>
      </c>
      <c r="H2" s="12" t="str">
        <f aca="false">IF(A2="","",IF(E2&gt;0,"Pokryte","BRAK"))</f>
        <v>Pokryte</v>
      </c>
      <c r="I2" s="11"/>
    </row>
    <row r="3" customFormat="false" ht="15" hidden="false" customHeight="true" outlineLevel="0" collapsed="false">
      <c r="A3" s="1" t="s">
        <v>42</v>
      </c>
      <c r="B3" s="1" t="s">
        <v>283</v>
      </c>
      <c r="C3" s="13" t="s">
        <v>85</v>
      </c>
      <c r="D3" s="5" t="s">
        <v>284</v>
      </c>
      <c r="E3" s="1" t="n">
        <f aca="false">IF(A3="","",COUNTIF('Przypadki testowe'!$C$2:$C$300,"*"&amp;A3&amp;"*"))</f>
        <v>6</v>
      </c>
      <c r="F3" s="1" t="n">
        <f aca="false">IF(A3="","",COUNTIFS('Przypadki testowe'!$C$2:$C$300,"*"&amp;A3&amp;"*",'Przypadki testowe'!$K$2:$K$300,"Zaliczony"))</f>
        <v>5</v>
      </c>
      <c r="G3" s="1" t="n">
        <f aca="false">IF(A3="","",COUNTIFS('Przypadki testowe'!$C$2:$C$300,"*"&amp;A3&amp;"*",'Przypadki testowe'!$K$2:$K$300,"Niezaliczony"))</f>
        <v>1</v>
      </c>
      <c r="H3" s="1" t="str">
        <f aca="false">IF(A3="","",IF(E3&gt;0,"Pokryte","BRAK"))</f>
        <v>Pokryte</v>
      </c>
    </row>
    <row r="4" customFormat="false" ht="15" hidden="false" customHeight="true" outlineLevel="0" collapsed="false">
      <c r="A4" s="1" t="s">
        <v>49</v>
      </c>
      <c r="B4" s="1" t="s">
        <v>285</v>
      </c>
      <c r="C4" s="13" t="s">
        <v>85</v>
      </c>
      <c r="D4" s="5" t="s">
        <v>173</v>
      </c>
      <c r="E4" s="1" t="n">
        <f aca="false">IF(A4="","",COUNTIF('Przypadki testowe'!$C$2:$C$300,"*"&amp;A4&amp;"*"))</f>
        <v>1</v>
      </c>
      <c r="F4" s="1" t="n">
        <f aca="false">IF(A4="","",COUNTIFS('Przypadki testowe'!$C$2:$C$300,"*"&amp;A4&amp;"*",'Przypadki testowe'!$K$2:$K$300,"Zaliczony"))</f>
        <v>1</v>
      </c>
      <c r="G4" s="1" t="n">
        <f aca="false">IF(A4="","",COUNTIFS('Przypadki testowe'!$C$2:$C$300,"*"&amp;A4&amp;"*",'Przypadki testowe'!$K$2:$K$300,"Niezaliczony"))</f>
        <v>0</v>
      </c>
      <c r="H4" s="1" t="str">
        <f aca="false">IF(A4="","",IF(E4&gt;0,"Pokryte","BRAK"))</f>
        <v>Pokryte</v>
      </c>
    </row>
    <row r="5" customFormat="false" ht="15" hidden="false" customHeight="true" outlineLevel="0" collapsed="false">
      <c r="A5" s="1" t="s">
        <v>52</v>
      </c>
      <c r="B5" s="1" t="s">
        <v>286</v>
      </c>
      <c r="C5" s="13" t="s">
        <v>97</v>
      </c>
      <c r="D5" s="5" t="s">
        <v>287</v>
      </c>
      <c r="E5" s="1" t="n">
        <f aca="false">IF(A5="","",COUNTIF('Przypadki testowe'!$C$2:$C$300,"*"&amp;A5&amp;"*"))</f>
        <v>4</v>
      </c>
      <c r="F5" s="1" t="n">
        <f aca="false">IF(A5="","",COUNTIFS('Przypadki testowe'!$C$2:$C$300,"*"&amp;A5&amp;"*",'Przypadki testowe'!$K$2:$K$300,"Zaliczony"))</f>
        <v>4</v>
      </c>
      <c r="G5" s="1" t="n">
        <f aca="false">IF(A5="","",COUNTIFS('Przypadki testowe'!$C$2:$C$300,"*"&amp;A5&amp;"*",'Przypadki testowe'!$K$2:$K$300,"Niezaliczony"))</f>
        <v>0</v>
      </c>
      <c r="H5" s="1" t="str">
        <f aca="false">IF(A5="","",IF(E5&gt;0,"Pokryte","BRAK"))</f>
        <v>Pokryte</v>
      </c>
    </row>
    <row r="6" customFormat="false" ht="15" hidden="false" customHeight="true" outlineLevel="0" collapsed="false">
      <c r="A6" s="1" t="s">
        <v>100</v>
      </c>
      <c r="B6" s="1" t="s">
        <v>288</v>
      </c>
      <c r="C6" s="13" t="s">
        <v>97</v>
      </c>
      <c r="D6" s="5" t="s">
        <v>289</v>
      </c>
      <c r="E6" s="1" t="n">
        <f aca="false">IF(A6="","",COUNTIF('Przypadki testowe'!$C$2:$C$300,"*"&amp;A6&amp;"*"))</f>
        <v>3</v>
      </c>
      <c r="F6" s="1" t="n">
        <f aca="false">IF(A6="","",COUNTIFS('Przypadki testowe'!$C$2:$C$300,"*"&amp;A6&amp;"*",'Przypadki testowe'!$K$2:$K$300,"Zaliczony"))</f>
        <v>2</v>
      </c>
      <c r="G6" s="1" t="n">
        <f aca="false">IF(A6="","",COUNTIFS('Przypadki testowe'!$C$2:$C$300,"*"&amp;A6&amp;"*",'Przypadki testowe'!$K$2:$K$300,"Niezaliczony"))</f>
        <v>1</v>
      </c>
      <c r="H6" s="1" t="str">
        <f aca="false">IF(A6="","",IF(E6&gt;0,"Pokryte","BRAK"))</f>
        <v>Pokryte</v>
      </c>
    </row>
    <row r="7" customFormat="false" ht="15" hidden="false" customHeight="true" outlineLevel="0" collapsed="false">
      <c r="A7" s="1" t="s">
        <v>103</v>
      </c>
      <c r="B7" s="1" t="s">
        <v>290</v>
      </c>
      <c r="C7" s="13" t="s">
        <v>104</v>
      </c>
      <c r="D7" s="5" t="s">
        <v>138</v>
      </c>
      <c r="E7" s="1" t="n">
        <f aca="false">IF(A7="","",COUNTIF('Przypadki testowe'!$C$2:$C$300,"*"&amp;A7&amp;"*"))</f>
        <v>1</v>
      </c>
      <c r="F7" s="1" t="n">
        <f aca="false">IF(A7="","",COUNTIFS('Przypadki testowe'!$C$2:$C$300,"*"&amp;A7&amp;"*",'Przypadki testowe'!$K$2:$K$300,"Zaliczony"))</f>
        <v>1</v>
      </c>
      <c r="G7" s="1" t="n">
        <f aca="false">IF(A7="","",COUNTIFS('Przypadki testowe'!$C$2:$C$300,"*"&amp;A7&amp;"*",'Przypadki testowe'!$K$2:$K$300,"Niezaliczony"))</f>
        <v>0</v>
      </c>
      <c r="H7" s="1" t="str">
        <f aca="false">IF(A7="","",IF(E7&gt;0,"Pokryte","BRAK"))</f>
        <v>Pokryte</v>
      </c>
    </row>
    <row r="8" customFormat="false" ht="15" hidden="false" customHeight="true" outlineLevel="0" collapsed="false">
      <c r="A8" s="1" t="s">
        <v>75</v>
      </c>
      <c r="B8" s="1" t="s">
        <v>291</v>
      </c>
      <c r="C8" s="13" t="s">
        <v>85</v>
      </c>
      <c r="D8" s="5" t="s">
        <v>201</v>
      </c>
      <c r="E8" s="1" t="n">
        <f aca="false">IF(A8="","",COUNTIF('Przypadki testowe'!$C$2:$C$300,"*"&amp;A8&amp;"*"))</f>
        <v>1</v>
      </c>
      <c r="F8" s="1" t="n">
        <f aca="false">IF(A8="","",COUNTIFS('Przypadki testowe'!$C$2:$C$300,"*"&amp;A8&amp;"*",'Przypadki testowe'!$K$2:$K$300,"Zaliczony"))</f>
        <v>1</v>
      </c>
      <c r="G8" s="1" t="n">
        <f aca="false">IF(A8="","",COUNTIFS('Przypadki testowe'!$C$2:$C$300,"*"&amp;A8&amp;"*",'Przypadki testowe'!$K$2:$K$300,"Niezaliczony"))</f>
        <v>0</v>
      </c>
      <c r="H8" s="1" t="str">
        <f aca="false">IF(A8="","",IF(E8&gt;0,"Pokryte","BRAK"))</f>
        <v>Pokryte</v>
      </c>
    </row>
    <row r="9" customFormat="false" ht="15" hidden="false" customHeight="true" outlineLevel="0" collapsed="false">
      <c r="A9" s="1" t="s">
        <v>109</v>
      </c>
      <c r="B9" s="1" t="s">
        <v>292</v>
      </c>
      <c r="C9" s="13" t="s">
        <v>97</v>
      </c>
      <c r="D9" s="5" t="s">
        <v>138</v>
      </c>
      <c r="E9" s="1" t="n">
        <f aca="false">IF(A9="","",COUNTIF('Przypadki testowe'!$C$2:$C$300,"*"&amp;A9&amp;"*"))</f>
        <v>1</v>
      </c>
      <c r="F9" s="1" t="n">
        <f aca="false">IF(A9="","",COUNTIFS('Przypadki testowe'!$C$2:$C$300,"*"&amp;A9&amp;"*",'Przypadki testowe'!$K$2:$K$300,"Zaliczony"))</f>
        <v>1</v>
      </c>
      <c r="G9" s="1" t="n">
        <f aca="false">IF(A9="","",COUNTIFS('Przypadki testowe'!$C$2:$C$300,"*"&amp;A9&amp;"*",'Przypadki testowe'!$K$2:$K$300,"Niezaliczony"))</f>
        <v>0</v>
      </c>
      <c r="H9" s="1" t="str">
        <f aca="false">IF(A9="","",IF(E9&gt;0,"Pokryte","BRAK"))</f>
        <v>Pokryte</v>
      </c>
    </row>
    <row r="10" customFormat="false" ht="15" hidden="false" customHeight="true" outlineLevel="0" collapsed="false">
      <c r="A10" s="1" t="s">
        <v>112</v>
      </c>
      <c r="B10" s="1" t="s">
        <v>293</v>
      </c>
      <c r="C10" s="13" t="s">
        <v>97</v>
      </c>
      <c r="D10" s="5" t="s">
        <v>138</v>
      </c>
      <c r="E10" s="1" t="n">
        <f aca="false">IF(A10="","",COUNTIF('Przypadki testowe'!$C$2:$C$300,"*"&amp;A10&amp;"*"))</f>
        <v>1</v>
      </c>
      <c r="F10" s="1" t="n">
        <f aca="false">IF(A10="","",COUNTIFS('Przypadki testowe'!$C$2:$C$300,"*"&amp;A10&amp;"*",'Przypadki testowe'!$K$2:$K$300,"Zaliczony"))</f>
        <v>1</v>
      </c>
      <c r="G10" s="1" t="n">
        <f aca="false">IF(A10="","",COUNTIFS('Przypadki testowe'!$C$2:$C$300,"*"&amp;A10&amp;"*",'Przypadki testowe'!$K$2:$K$300,"Niezaliczony"))</f>
        <v>0</v>
      </c>
      <c r="H10" s="1" t="str">
        <f aca="false">IF(A10="","",IF(E10&gt;0,"Pokryte","BRAK"))</f>
        <v>Pokryte</v>
      </c>
    </row>
    <row r="11" customFormat="false" ht="15" hidden="false" customHeight="true" outlineLevel="0" collapsed="false">
      <c r="A11" s="1" t="s">
        <v>59</v>
      </c>
      <c r="B11" s="1" t="s">
        <v>294</v>
      </c>
      <c r="C11" s="13" t="s">
        <v>97</v>
      </c>
      <c r="D11" s="5" t="s">
        <v>295</v>
      </c>
      <c r="E11" s="1" t="n">
        <f aca="false">IF(A11="","",COUNTIF('Przypadki testowe'!$C$2:$C$300,"*"&amp;A11&amp;"*"))</f>
        <v>5</v>
      </c>
      <c r="F11" s="1" t="n">
        <f aca="false">IF(A11="","",COUNTIFS('Przypadki testowe'!$C$2:$C$300,"*"&amp;A11&amp;"*",'Przypadki testowe'!$K$2:$K$300,"Zaliczony"))</f>
        <v>4</v>
      </c>
      <c r="G11" s="1" t="n">
        <f aca="false">IF(A11="","",COUNTIFS('Przypadki testowe'!$C$2:$C$300,"*"&amp;A11&amp;"*",'Przypadki testowe'!$K$2:$K$300,"Niezaliczony"))</f>
        <v>1</v>
      </c>
      <c r="H11" s="1" t="str">
        <f aca="false">IF(A11="","",IF(E11&gt;0,"Pokryte","BRAK"))</f>
        <v>Pokryte</v>
      </c>
    </row>
    <row r="12" customFormat="false" ht="15" hidden="false" customHeight="true" outlineLevel="0" collapsed="false">
      <c r="A12" s="1" t="s">
        <v>117</v>
      </c>
      <c r="B12" s="1" t="s">
        <v>296</v>
      </c>
      <c r="C12" s="13" t="s">
        <v>97</v>
      </c>
      <c r="D12" s="5" t="s">
        <v>297</v>
      </c>
      <c r="E12" s="1" t="n">
        <f aca="false">IF(A12="","",COUNTIF('Przypadki testowe'!$C$2:$C$300,"*"&amp;A12&amp;"*"))</f>
        <v>4</v>
      </c>
      <c r="F12" s="1" t="n">
        <f aca="false">IF(A12="","",COUNTIFS('Przypadki testowe'!$C$2:$C$300,"*"&amp;A12&amp;"*",'Przypadki testowe'!$K$2:$K$300,"Zaliczony"))</f>
        <v>3</v>
      </c>
      <c r="G12" s="1" t="n">
        <f aca="false">IF(A12="","",COUNTIFS('Przypadki testowe'!$C$2:$C$300,"*"&amp;A12&amp;"*",'Przypadki testowe'!$K$2:$K$300,"Niezaliczony"))</f>
        <v>1</v>
      </c>
      <c r="H12" s="1" t="str">
        <f aca="false">IF(A12="","",IF(E12&gt;0,"Pokryte","BRAK"))</f>
        <v>Pokryte</v>
      </c>
    </row>
    <row r="13" customFormat="false" ht="15" hidden="false" customHeight="true" outlineLevel="0" collapsed="false">
      <c r="A13" s="1" t="s">
        <v>72</v>
      </c>
      <c r="B13" s="1" t="s">
        <v>298</v>
      </c>
      <c r="C13" s="13" t="s">
        <v>85</v>
      </c>
      <c r="D13" s="5" t="s">
        <v>299</v>
      </c>
      <c r="E13" s="1" t="n">
        <f aca="false">IF(A13="","",COUNTIF('Przypadki testowe'!$C$2:$C$300,"*"&amp;A13&amp;"*"))</f>
        <v>2</v>
      </c>
      <c r="F13" s="1" t="n">
        <f aca="false">IF(A13="","",COUNTIFS('Przypadki testowe'!$C$2:$C$300,"*"&amp;A13&amp;"*",'Przypadki testowe'!$K$2:$K$300,"Zaliczony"))</f>
        <v>1</v>
      </c>
      <c r="G13" s="1" t="n">
        <f aca="false">IF(A13="","",COUNTIFS('Przypadki testowe'!$C$2:$C$300,"*"&amp;A13&amp;"*",'Przypadki testowe'!$K$2:$K$300,"Niezaliczony"))</f>
        <v>1</v>
      </c>
      <c r="H13" s="1" t="str">
        <f aca="false">IF(A13="","",IF(E13&gt;0,"Pokryte","BRAK"))</f>
        <v>Pokryte</v>
      </c>
    </row>
    <row r="14" customFormat="false" ht="15" hidden="false" customHeight="true" outlineLevel="0" collapsed="false">
      <c r="A14" s="1" t="s">
        <v>63</v>
      </c>
      <c r="B14" s="1" t="s">
        <v>300</v>
      </c>
      <c r="C14" s="13" t="s">
        <v>97</v>
      </c>
      <c r="D14" s="5" t="s">
        <v>301</v>
      </c>
      <c r="E14" s="1" t="n">
        <f aca="false">IF(A14="","",COUNTIF('Przypadki testowe'!$C$2:$C$300,"*"&amp;A14&amp;"*"))</f>
        <v>5</v>
      </c>
      <c r="F14" s="1" t="n">
        <f aca="false">IF(A14="","",COUNTIFS('Przypadki testowe'!$C$2:$C$300,"*"&amp;A14&amp;"*",'Przypadki testowe'!$K$2:$K$300,"Zaliczony"))</f>
        <v>4</v>
      </c>
      <c r="G14" s="1" t="n">
        <f aca="false">IF(A14="","",COUNTIFS('Przypadki testowe'!$C$2:$C$300,"*"&amp;A14&amp;"*",'Przypadki testowe'!$K$2:$K$300,"Niezaliczony"))</f>
        <v>1</v>
      </c>
      <c r="H14" s="1" t="str">
        <f aca="false">IF(A14="","",IF(E14&gt;0,"Pokryte","BRAK"))</f>
        <v>Pokryte</v>
      </c>
    </row>
    <row r="15" customFormat="false" ht="15" hidden="false" customHeight="true" outlineLevel="0" collapsed="false">
      <c r="A15" s="1" t="s">
        <v>69</v>
      </c>
      <c r="B15" s="1" t="s">
        <v>302</v>
      </c>
      <c r="C15" s="13" t="s">
        <v>97</v>
      </c>
      <c r="D15" s="5" t="s">
        <v>303</v>
      </c>
      <c r="E15" s="1" t="n">
        <f aca="false">IF(A15="","",COUNTIF('Przypadki testowe'!$C$2:$C$300,"*"&amp;A15&amp;"*"))</f>
        <v>2</v>
      </c>
      <c r="F15" s="1" t="n">
        <f aca="false">IF(A15="","",COUNTIFS('Przypadki testowe'!$C$2:$C$300,"*"&amp;A15&amp;"*",'Przypadki testowe'!$K$2:$K$300,"Zaliczony"))</f>
        <v>1</v>
      </c>
      <c r="G15" s="1" t="n">
        <f aca="false">IF(A15="","",COUNTIFS('Przypadki testowe'!$C$2:$C$300,"*"&amp;A15&amp;"*",'Przypadki testowe'!$K$2:$K$300,"Niezaliczony"))</f>
        <v>1</v>
      </c>
      <c r="H15" s="1" t="str">
        <f aca="false">IF(A15="","",IF(E15&gt;0,"Pokryte","BRAK"))</f>
        <v>Pokryte</v>
      </c>
    </row>
    <row r="16" customFormat="false" ht="15" hidden="false" customHeight="true" outlineLevel="0" collapsed="false">
      <c r="A16" s="1" t="s">
        <v>126</v>
      </c>
      <c r="B16" s="1" t="s">
        <v>125</v>
      </c>
      <c r="C16" s="13" t="s">
        <v>104</v>
      </c>
      <c r="D16" s="5" t="s">
        <v>268</v>
      </c>
      <c r="E16" s="1" t="n">
        <f aca="false">IF(A16="","",COUNTIF('Przypadki testowe'!$C$2:$C$300,"*"&amp;A16&amp;"*"))</f>
        <v>1</v>
      </c>
      <c r="F16" s="1" t="n">
        <f aca="false">IF(A16="","",COUNTIFS('Przypadki testowe'!$C$2:$C$300,"*"&amp;A16&amp;"*",'Przypadki testowe'!$K$2:$K$300,"Zaliczony"))</f>
        <v>0</v>
      </c>
      <c r="G16" s="1" t="n">
        <f aca="false">IF(A16="","",COUNTIFS('Przypadki testowe'!$C$2:$C$300,"*"&amp;A16&amp;"*",'Przypadki testowe'!$K$2:$K$300,"Niezaliczony"))</f>
        <v>1</v>
      </c>
      <c r="H16" s="1" t="str">
        <f aca="false">IF(A16="","",IF(E16&gt;0,"Pokryte","BRAK"))</f>
        <v>Pokryte</v>
      </c>
    </row>
    <row r="17" customFormat="false" ht="15" hidden="false" customHeight="true" outlineLevel="0" collapsed="false">
      <c r="C17" s="13"/>
      <c r="E17" s="1" t="str">
        <f aca="false">IF(A17="","",COUNTIF('Przypadki testowe'!$C$2:$C$300,"*"&amp;A17&amp;"*"))</f>
        <v/>
      </c>
      <c r="F17" s="1" t="str">
        <f aca="false">IF(A17="","",COUNTIFS('Przypadki testowe'!$C$2:$C$300,"*"&amp;A17&amp;"*",'Przypadki testowe'!$K$2:$K$300,"Zaliczony"))</f>
        <v/>
      </c>
      <c r="G17" s="1" t="str">
        <f aca="false">IF(A17="","",COUNTIFS('Przypadki testowe'!$C$2:$C$300,"*"&amp;A17&amp;"*",'Przypadki testowe'!$K$2:$K$300,"Niezaliczony"))</f>
        <v/>
      </c>
      <c r="H17" s="1" t="str">
        <f aca="false">IF(A17="","",IF(E17&gt;0,"Pokryte","BRAK"))</f>
        <v/>
      </c>
    </row>
    <row r="18" customFormat="false" ht="15" hidden="false" customHeight="true" outlineLevel="0" collapsed="false">
      <c r="C18" s="13"/>
      <c r="E18" s="1" t="str">
        <f aca="false">IF(A18="","",COUNTIF('Przypadki testowe'!$C$2:$C$300,"*"&amp;A18&amp;"*"))</f>
        <v/>
      </c>
      <c r="F18" s="1" t="str">
        <f aca="false">IF(A18="","",COUNTIFS('Przypadki testowe'!$C$2:$C$300,"*"&amp;A18&amp;"*",'Przypadki testowe'!$K$2:$K$300,"Zaliczony"))</f>
        <v/>
      </c>
      <c r="G18" s="1" t="str">
        <f aca="false">IF(A18="","",COUNTIFS('Przypadki testowe'!$C$2:$C$300,"*"&amp;A18&amp;"*",'Przypadki testowe'!$K$2:$K$300,"Niezaliczony"))</f>
        <v/>
      </c>
      <c r="H18" s="1" t="str">
        <f aca="false">IF(A18="","",IF(E18&gt;0,"Pokryte","BRAK"))</f>
        <v/>
      </c>
    </row>
    <row r="19" customFormat="false" ht="15" hidden="false" customHeight="true" outlineLevel="0" collapsed="false">
      <c r="C19" s="13"/>
      <c r="E19" s="1" t="str">
        <f aca="false">IF(A19="","",COUNTIF('Przypadki testowe'!$C$2:$C$300,"*"&amp;A19&amp;"*"))</f>
        <v/>
      </c>
      <c r="F19" s="1" t="str">
        <f aca="false">IF(A19="","",COUNTIFS('Przypadki testowe'!$C$2:$C$300,"*"&amp;A19&amp;"*",'Przypadki testowe'!$K$2:$K$300,"Zaliczony"))</f>
        <v/>
      </c>
      <c r="G19" s="1" t="str">
        <f aca="false">IF(A19="","",COUNTIFS('Przypadki testowe'!$C$2:$C$300,"*"&amp;A19&amp;"*",'Przypadki testowe'!$K$2:$K$300,"Niezaliczony"))</f>
        <v/>
      </c>
      <c r="H19" s="1" t="str">
        <f aca="false">IF(A19="","",IF(E19&gt;0,"Pokryte","BRAK"))</f>
        <v/>
      </c>
    </row>
    <row r="20" customFormat="false" ht="15" hidden="false" customHeight="true" outlineLevel="0" collapsed="false">
      <c r="C20" s="13"/>
      <c r="E20" s="1" t="str">
        <f aca="false">IF(A20="","",COUNTIF('Przypadki testowe'!$C$2:$C$300,"*"&amp;A20&amp;"*"))</f>
        <v/>
      </c>
      <c r="F20" s="1" t="str">
        <f aca="false">IF(A20="","",COUNTIFS('Przypadki testowe'!$C$2:$C$300,"*"&amp;A20&amp;"*",'Przypadki testowe'!$K$2:$K$300,"Zaliczony"))</f>
        <v/>
      </c>
      <c r="G20" s="1" t="str">
        <f aca="false">IF(A20="","",COUNTIFS('Przypadki testowe'!$C$2:$C$300,"*"&amp;A20&amp;"*",'Przypadki testowe'!$K$2:$K$300,"Niezaliczony"))</f>
        <v/>
      </c>
      <c r="H20" s="1" t="str">
        <f aca="false">IF(A20="","",IF(E20&gt;0,"Pokryte","BRAK"))</f>
        <v/>
      </c>
    </row>
    <row r="21" customFormat="false" ht="15" hidden="false" customHeight="true" outlineLevel="0" collapsed="false">
      <c r="C21" s="13"/>
      <c r="E21" s="1" t="str">
        <f aca="false">IF(A21="","",COUNTIF('Przypadki testowe'!$C$2:$C$300,"*"&amp;A21&amp;"*"))</f>
        <v/>
      </c>
      <c r="F21" s="1" t="str">
        <f aca="false">IF(A21="","",COUNTIFS('Przypadki testowe'!$C$2:$C$300,"*"&amp;A21&amp;"*",'Przypadki testowe'!$K$2:$K$300,"Zaliczony"))</f>
        <v/>
      </c>
      <c r="G21" s="1" t="str">
        <f aca="false">IF(A21="","",COUNTIFS('Przypadki testowe'!$C$2:$C$300,"*"&amp;A21&amp;"*",'Przypadki testowe'!$K$2:$K$300,"Niezaliczony"))</f>
        <v/>
      </c>
      <c r="H21" s="1" t="str">
        <f aca="false">IF(A21="","",IF(E21&gt;0,"Pokryte","BRAK"))</f>
        <v/>
      </c>
    </row>
    <row r="22" customFormat="false" ht="15" hidden="false" customHeight="true" outlineLevel="0" collapsed="false">
      <c r="C22" s="13"/>
      <c r="E22" s="1" t="str">
        <f aca="false">IF(A22="","",COUNTIF('Przypadki testowe'!$C$2:$C$300,"*"&amp;A22&amp;"*"))</f>
        <v/>
      </c>
      <c r="F22" s="1" t="str">
        <f aca="false">IF(A22="","",COUNTIFS('Przypadki testowe'!$C$2:$C$300,"*"&amp;A22&amp;"*",'Przypadki testowe'!$K$2:$K$300,"Zaliczony"))</f>
        <v/>
      </c>
      <c r="G22" s="1" t="str">
        <f aca="false">IF(A22="","",COUNTIFS('Przypadki testowe'!$C$2:$C$300,"*"&amp;A22&amp;"*",'Przypadki testowe'!$K$2:$K$300,"Niezaliczony"))</f>
        <v/>
      </c>
      <c r="H22" s="1" t="str">
        <f aca="false">IF(A22="","",IF(E22&gt;0,"Pokryte","BRAK"))</f>
        <v/>
      </c>
    </row>
    <row r="23" customFormat="false" ht="15" hidden="false" customHeight="true" outlineLevel="0" collapsed="false">
      <c r="C23" s="13"/>
      <c r="E23" s="1" t="str">
        <f aca="false">IF(A23="","",COUNTIF('Przypadki testowe'!$C$2:$C$300,"*"&amp;A23&amp;"*"))</f>
        <v/>
      </c>
      <c r="F23" s="1" t="str">
        <f aca="false">IF(A23="","",COUNTIFS('Przypadki testowe'!$C$2:$C$300,"*"&amp;A23&amp;"*",'Przypadki testowe'!$K$2:$K$300,"Zaliczony"))</f>
        <v/>
      </c>
      <c r="G23" s="1" t="str">
        <f aca="false">IF(A23="","",COUNTIFS('Przypadki testowe'!$C$2:$C$300,"*"&amp;A23&amp;"*",'Przypadki testowe'!$K$2:$K$300,"Niezaliczony"))</f>
        <v/>
      </c>
      <c r="H23" s="1" t="str">
        <f aca="false">IF(A23="","",IF(E23&gt;0,"Pokryte","BRAK"))</f>
        <v/>
      </c>
    </row>
    <row r="24" customFormat="false" ht="15" hidden="false" customHeight="true" outlineLevel="0" collapsed="false">
      <c r="C24" s="13"/>
      <c r="E24" s="1" t="str">
        <f aca="false">IF(A24="","",COUNTIF('Przypadki testowe'!$C$2:$C$300,"*"&amp;A24&amp;"*"))</f>
        <v/>
      </c>
      <c r="F24" s="1" t="str">
        <f aca="false">IF(A24="","",COUNTIFS('Przypadki testowe'!$C$2:$C$300,"*"&amp;A24&amp;"*",'Przypadki testowe'!$K$2:$K$300,"Zaliczony"))</f>
        <v/>
      </c>
      <c r="G24" s="1" t="str">
        <f aca="false">IF(A24="","",COUNTIFS('Przypadki testowe'!$C$2:$C$300,"*"&amp;A24&amp;"*",'Przypadki testowe'!$K$2:$K$300,"Niezaliczony"))</f>
        <v/>
      </c>
      <c r="H24" s="1" t="str">
        <f aca="false">IF(A24="","",IF(E24&gt;0,"Pokryte","BRAK"))</f>
        <v/>
      </c>
    </row>
    <row r="25" customFormat="false" ht="15" hidden="false" customHeight="true" outlineLevel="0" collapsed="false">
      <c r="C25" s="13"/>
      <c r="E25" s="1" t="str">
        <f aca="false">IF(A25="","",COUNTIF('Przypadki testowe'!$C$2:$C$300,"*"&amp;A25&amp;"*"))</f>
        <v/>
      </c>
      <c r="F25" s="1" t="str">
        <f aca="false">IF(A25="","",COUNTIFS('Przypadki testowe'!$C$2:$C$300,"*"&amp;A25&amp;"*",'Przypadki testowe'!$K$2:$K$300,"Zaliczony"))</f>
        <v/>
      </c>
      <c r="G25" s="1" t="str">
        <f aca="false">IF(A25="","",COUNTIFS('Przypadki testowe'!$C$2:$C$300,"*"&amp;A25&amp;"*",'Przypadki testowe'!$K$2:$K$300,"Niezaliczony"))</f>
        <v/>
      </c>
      <c r="H25" s="1" t="str">
        <f aca="false">IF(A25="","",IF(E25&gt;0,"Pokryte","BRAK"))</f>
        <v/>
      </c>
    </row>
    <row r="26" customFormat="false" ht="15" hidden="false" customHeight="true" outlineLevel="0" collapsed="false">
      <c r="C26" s="13"/>
      <c r="E26" s="1" t="str">
        <f aca="false">IF(A26="","",COUNTIF('Przypadki testowe'!$C$2:$C$300,"*"&amp;A26&amp;"*"))</f>
        <v/>
      </c>
      <c r="F26" s="1" t="str">
        <f aca="false">IF(A26="","",COUNTIFS('Przypadki testowe'!$C$2:$C$300,"*"&amp;A26&amp;"*",'Przypadki testowe'!$K$2:$K$300,"Zaliczony"))</f>
        <v/>
      </c>
      <c r="G26" s="1" t="str">
        <f aca="false">IF(A26="","",COUNTIFS('Przypadki testowe'!$C$2:$C$300,"*"&amp;A26&amp;"*",'Przypadki testowe'!$K$2:$K$300,"Niezaliczony"))</f>
        <v/>
      </c>
      <c r="H26" s="1" t="str">
        <f aca="false">IF(A26="","",IF(E26&gt;0,"Pokryte","BRAK"))</f>
        <v/>
      </c>
    </row>
    <row r="27" customFormat="false" ht="15" hidden="false" customHeight="true" outlineLevel="0" collapsed="false">
      <c r="C27" s="13"/>
      <c r="E27" s="1" t="str">
        <f aca="false">IF(A27="","",COUNTIF('Przypadki testowe'!$C$2:$C$300,"*"&amp;A27&amp;"*"))</f>
        <v/>
      </c>
      <c r="F27" s="1" t="str">
        <f aca="false">IF(A27="","",COUNTIFS('Przypadki testowe'!$C$2:$C$300,"*"&amp;A27&amp;"*",'Przypadki testowe'!$K$2:$K$300,"Zaliczony"))</f>
        <v/>
      </c>
      <c r="G27" s="1" t="str">
        <f aca="false">IF(A27="","",COUNTIFS('Przypadki testowe'!$C$2:$C$300,"*"&amp;A27&amp;"*",'Przypadki testowe'!$K$2:$K$300,"Niezaliczony"))</f>
        <v/>
      </c>
      <c r="H27" s="1" t="str">
        <f aca="false">IF(A27="","",IF(E27&gt;0,"Pokryte","BRAK"))</f>
        <v/>
      </c>
    </row>
    <row r="28" customFormat="false" ht="15" hidden="false" customHeight="true" outlineLevel="0" collapsed="false">
      <c r="C28" s="13"/>
      <c r="E28" s="1" t="str">
        <f aca="false">IF(A28="","",COUNTIF('Przypadki testowe'!$C$2:$C$300,"*"&amp;A28&amp;"*"))</f>
        <v/>
      </c>
      <c r="F28" s="1" t="str">
        <f aca="false">IF(A28="","",COUNTIFS('Przypadki testowe'!$C$2:$C$300,"*"&amp;A28&amp;"*",'Przypadki testowe'!$K$2:$K$300,"Zaliczony"))</f>
        <v/>
      </c>
      <c r="G28" s="1" t="str">
        <f aca="false">IF(A28="","",COUNTIFS('Przypadki testowe'!$C$2:$C$300,"*"&amp;A28&amp;"*",'Przypadki testowe'!$K$2:$K$300,"Niezaliczony"))</f>
        <v/>
      </c>
      <c r="H28" s="1" t="str">
        <f aca="false">IF(A28="","",IF(E28&gt;0,"Pokryte","BRAK"))</f>
        <v/>
      </c>
    </row>
    <row r="29" customFormat="false" ht="15" hidden="false" customHeight="true" outlineLevel="0" collapsed="false">
      <c r="C29" s="13"/>
      <c r="E29" s="1" t="str">
        <f aca="false">IF(A29="","",COUNTIF('Przypadki testowe'!$C$2:$C$300,"*"&amp;A29&amp;"*"))</f>
        <v/>
      </c>
      <c r="F29" s="1" t="str">
        <f aca="false">IF(A29="","",COUNTIFS('Przypadki testowe'!$C$2:$C$300,"*"&amp;A29&amp;"*",'Przypadki testowe'!$K$2:$K$300,"Zaliczony"))</f>
        <v/>
      </c>
      <c r="G29" s="1" t="str">
        <f aca="false">IF(A29="","",COUNTIFS('Przypadki testowe'!$C$2:$C$300,"*"&amp;A29&amp;"*",'Przypadki testowe'!$K$2:$K$300,"Niezaliczony"))</f>
        <v/>
      </c>
      <c r="H29" s="1" t="str">
        <f aca="false">IF(A29="","",IF(E29&gt;0,"Pokryte","BRAK"))</f>
        <v/>
      </c>
    </row>
    <row r="30" customFormat="false" ht="15" hidden="false" customHeight="true" outlineLevel="0" collapsed="false">
      <c r="C30" s="13"/>
      <c r="E30" s="1" t="str">
        <f aca="false">IF(A30="","",COUNTIF('Przypadki testowe'!$C$2:$C$300,"*"&amp;A30&amp;"*"))</f>
        <v/>
      </c>
      <c r="F30" s="1" t="str">
        <f aca="false">IF(A30="","",COUNTIFS('Przypadki testowe'!$C$2:$C$300,"*"&amp;A30&amp;"*",'Przypadki testowe'!$K$2:$K$300,"Zaliczony"))</f>
        <v/>
      </c>
      <c r="G30" s="1" t="str">
        <f aca="false">IF(A30="","",COUNTIFS('Przypadki testowe'!$C$2:$C$300,"*"&amp;A30&amp;"*",'Przypadki testowe'!$K$2:$K$300,"Niezaliczony"))</f>
        <v/>
      </c>
      <c r="H30" s="1" t="str">
        <f aca="false">IF(A30="","",IF(E30&gt;0,"Pokryte","BRAK"))</f>
        <v/>
      </c>
    </row>
    <row r="31" customFormat="false" ht="15" hidden="false" customHeight="true" outlineLevel="0" collapsed="false">
      <c r="C31" s="13"/>
      <c r="E31" s="1" t="str">
        <f aca="false">IF(A31="","",COUNTIF('Przypadki testowe'!$C$2:$C$300,"*"&amp;A31&amp;"*"))</f>
        <v/>
      </c>
      <c r="F31" s="1" t="str">
        <f aca="false">IF(A31="","",COUNTIFS('Przypadki testowe'!$C$2:$C$300,"*"&amp;A31&amp;"*",'Przypadki testowe'!$K$2:$K$300,"Zaliczony"))</f>
        <v/>
      </c>
      <c r="G31" s="1" t="str">
        <f aca="false">IF(A31="","",COUNTIFS('Przypadki testowe'!$C$2:$C$300,"*"&amp;A31&amp;"*",'Przypadki testowe'!$K$2:$K$300,"Niezaliczony"))</f>
        <v/>
      </c>
      <c r="H31" s="1" t="str">
        <f aca="false">IF(A31="","",IF(E31&gt;0,"Pokryte","BRAK"))</f>
        <v/>
      </c>
    </row>
    <row r="32" customFormat="false" ht="15" hidden="false" customHeight="true" outlineLevel="0" collapsed="false">
      <c r="C32" s="13"/>
      <c r="E32" s="1" t="str">
        <f aca="false">IF(A32="","",COUNTIF('Przypadki testowe'!$C$2:$C$300,"*"&amp;A32&amp;"*"))</f>
        <v/>
      </c>
      <c r="F32" s="1" t="str">
        <f aca="false">IF(A32="","",COUNTIFS('Przypadki testowe'!$C$2:$C$300,"*"&amp;A32&amp;"*",'Przypadki testowe'!$K$2:$K$300,"Zaliczony"))</f>
        <v/>
      </c>
      <c r="G32" s="1" t="str">
        <f aca="false">IF(A32="","",COUNTIFS('Przypadki testowe'!$C$2:$C$300,"*"&amp;A32&amp;"*",'Przypadki testowe'!$K$2:$K$300,"Niezaliczony"))</f>
        <v/>
      </c>
      <c r="H32" s="1" t="str">
        <f aca="false">IF(A32="","",IF(E32&gt;0,"Pokryte","BRAK"))</f>
        <v/>
      </c>
    </row>
    <row r="33" customFormat="false" ht="15" hidden="false" customHeight="true" outlineLevel="0" collapsed="false">
      <c r="C33" s="13"/>
      <c r="E33" s="1" t="str">
        <f aca="false">IF(A33="","",COUNTIF('Przypadki testowe'!$C$2:$C$300,"*"&amp;A33&amp;"*"))</f>
        <v/>
      </c>
      <c r="F33" s="1" t="str">
        <f aca="false">IF(A33="","",COUNTIFS('Przypadki testowe'!$C$2:$C$300,"*"&amp;A33&amp;"*",'Przypadki testowe'!$K$2:$K$300,"Zaliczony"))</f>
        <v/>
      </c>
      <c r="G33" s="1" t="str">
        <f aca="false">IF(A33="","",COUNTIFS('Przypadki testowe'!$C$2:$C$300,"*"&amp;A33&amp;"*",'Przypadki testowe'!$K$2:$K$300,"Niezaliczony"))</f>
        <v/>
      </c>
      <c r="H33" s="1" t="str">
        <f aca="false">IF(A33="","",IF(E33&gt;0,"Pokryte","BRAK"))</f>
        <v/>
      </c>
    </row>
    <row r="34" customFormat="false" ht="15" hidden="false" customHeight="true" outlineLevel="0" collapsed="false">
      <c r="C34" s="13"/>
      <c r="E34" s="1" t="str">
        <f aca="false">IF(A34="","",COUNTIF('Przypadki testowe'!$C$2:$C$300,"*"&amp;A34&amp;"*"))</f>
        <v/>
      </c>
      <c r="F34" s="1" t="str">
        <f aca="false">IF(A34="","",COUNTIFS('Przypadki testowe'!$C$2:$C$300,"*"&amp;A34&amp;"*",'Przypadki testowe'!$K$2:$K$300,"Zaliczony"))</f>
        <v/>
      </c>
      <c r="G34" s="1" t="str">
        <f aca="false">IF(A34="","",COUNTIFS('Przypadki testowe'!$C$2:$C$300,"*"&amp;A34&amp;"*",'Przypadki testowe'!$K$2:$K$300,"Niezaliczony"))</f>
        <v/>
      </c>
      <c r="H34" s="1" t="str">
        <f aca="false">IF(A34="","",IF(E34&gt;0,"Pokryte","BRAK"))</f>
        <v/>
      </c>
    </row>
    <row r="35" customFormat="false" ht="15" hidden="false" customHeight="true" outlineLevel="0" collapsed="false">
      <c r="C35" s="13"/>
      <c r="E35" s="1" t="str">
        <f aca="false">IF(A35="","",COUNTIF('Przypadki testowe'!$C$2:$C$300,"*"&amp;A35&amp;"*"))</f>
        <v/>
      </c>
      <c r="F35" s="1" t="str">
        <f aca="false">IF(A35="","",COUNTIFS('Przypadki testowe'!$C$2:$C$300,"*"&amp;A35&amp;"*",'Przypadki testowe'!$K$2:$K$300,"Zaliczony"))</f>
        <v/>
      </c>
      <c r="G35" s="1" t="str">
        <f aca="false">IF(A35="","",COUNTIFS('Przypadki testowe'!$C$2:$C$300,"*"&amp;A35&amp;"*",'Przypadki testowe'!$K$2:$K$300,"Niezaliczony"))</f>
        <v/>
      </c>
      <c r="H35" s="1" t="str">
        <f aca="false">IF(A35="","",IF(E35&gt;0,"Pokryte","BRAK"))</f>
        <v/>
      </c>
    </row>
    <row r="36" customFormat="false" ht="15" hidden="false" customHeight="true" outlineLevel="0" collapsed="false">
      <c r="C36" s="13"/>
      <c r="E36" s="1" t="str">
        <f aca="false">IF(A36="","",COUNTIF('Przypadki testowe'!$C$2:$C$300,"*"&amp;A36&amp;"*"))</f>
        <v/>
      </c>
      <c r="F36" s="1" t="str">
        <f aca="false">IF(A36="","",COUNTIFS('Przypadki testowe'!$C$2:$C$300,"*"&amp;A36&amp;"*",'Przypadki testowe'!$K$2:$K$300,"Zaliczony"))</f>
        <v/>
      </c>
      <c r="G36" s="1" t="str">
        <f aca="false">IF(A36="","",COUNTIFS('Przypadki testowe'!$C$2:$C$300,"*"&amp;A36&amp;"*",'Przypadki testowe'!$K$2:$K$300,"Niezaliczony"))</f>
        <v/>
      </c>
      <c r="H36" s="1" t="str">
        <f aca="false">IF(A36="","",IF(E36&gt;0,"Pokryte","BRAK"))</f>
        <v/>
      </c>
    </row>
    <row r="37" customFormat="false" ht="15" hidden="false" customHeight="true" outlineLevel="0" collapsed="false">
      <c r="C37" s="13"/>
      <c r="E37" s="1" t="str">
        <f aca="false">IF(A37="","",COUNTIF('Przypadki testowe'!$C$2:$C$300,"*"&amp;A37&amp;"*"))</f>
        <v/>
      </c>
      <c r="F37" s="1" t="str">
        <f aca="false">IF(A37="","",COUNTIFS('Przypadki testowe'!$C$2:$C$300,"*"&amp;A37&amp;"*",'Przypadki testowe'!$K$2:$K$300,"Zaliczony"))</f>
        <v/>
      </c>
      <c r="G37" s="1" t="str">
        <f aca="false">IF(A37="","",COUNTIFS('Przypadki testowe'!$C$2:$C$300,"*"&amp;A37&amp;"*",'Przypadki testowe'!$K$2:$K$300,"Niezaliczony"))</f>
        <v/>
      </c>
      <c r="H37" s="1" t="str">
        <f aca="false">IF(A37="","",IF(E37&gt;0,"Pokryte","BRAK"))</f>
        <v/>
      </c>
    </row>
    <row r="38" customFormat="false" ht="15" hidden="false" customHeight="true" outlineLevel="0" collapsed="false">
      <c r="C38" s="13"/>
      <c r="E38" s="1" t="str">
        <f aca="false">IF(A38="","",COUNTIF('Przypadki testowe'!$C$2:$C$300,"*"&amp;A38&amp;"*"))</f>
        <v/>
      </c>
      <c r="F38" s="1" t="str">
        <f aca="false">IF(A38="","",COUNTIFS('Przypadki testowe'!$C$2:$C$300,"*"&amp;A38&amp;"*",'Przypadki testowe'!$K$2:$K$300,"Zaliczony"))</f>
        <v/>
      </c>
      <c r="G38" s="1" t="str">
        <f aca="false">IF(A38="","",COUNTIFS('Przypadki testowe'!$C$2:$C$300,"*"&amp;A38&amp;"*",'Przypadki testowe'!$K$2:$K$300,"Niezaliczony"))</f>
        <v/>
      </c>
      <c r="H38" s="1" t="str">
        <f aca="false">IF(A38="","",IF(E38&gt;0,"Pokryte","BRAK"))</f>
        <v/>
      </c>
    </row>
    <row r="39" customFormat="false" ht="15" hidden="false" customHeight="true" outlineLevel="0" collapsed="false">
      <c r="C39" s="13"/>
      <c r="E39" s="1" t="str">
        <f aca="false">IF(A39="","",COUNTIF('Przypadki testowe'!$C$2:$C$300,"*"&amp;A39&amp;"*"))</f>
        <v/>
      </c>
      <c r="F39" s="1" t="str">
        <f aca="false">IF(A39="","",COUNTIFS('Przypadki testowe'!$C$2:$C$300,"*"&amp;A39&amp;"*",'Przypadki testowe'!$K$2:$K$300,"Zaliczony"))</f>
        <v/>
      </c>
      <c r="G39" s="1" t="str">
        <f aca="false">IF(A39="","",COUNTIFS('Przypadki testowe'!$C$2:$C$300,"*"&amp;A39&amp;"*",'Przypadki testowe'!$K$2:$K$300,"Niezaliczony"))</f>
        <v/>
      </c>
      <c r="H39" s="1" t="str">
        <f aca="false">IF(A39="","",IF(E39&gt;0,"Pokryte","BRAK"))</f>
        <v/>
      </c>
    </row>
    <row r="40" customFormat="false" ht="15" hidden="false" customHeight="true" outlineLevel="0" collapsed="false">
      <c r="C40" s="13"/>
      <c r="E40" s="1" t="str">
        <f aca="false">IF(A40="","",COUNTIF('Przypadki testowe'!$C$2:$C$300,"*"&amp;A40&amp;"*"))</f>
        <v/>
      </c>
      <c r="F40" s="1" t="str">
        <f aca="false">IF(A40="","",COUNTIFS('Przypadki testowe'!$C$2:$C$300,"*"&amp;A40&amp;"*",'Przypadki testowe'!$K$2:$K$300,"Zaliczony"))</f>
        <v/>
      </c>
      <c r="G40" s="1" t="str">
        <f aca="false">IF(A40="","",COUNTIFS('Przypadki testowe'!$C$2:$C$300,"*"&amp;A40&amp;"*",'Przypadki testowe'!$K$2:$K$300,"Niezaliczony"))</f>
        <v/>
      </c>
      <c r="H40" s="1" t="str">
        <f aca="false">IF(A40="","",IF(E40&gt;0,"Pokryte","BRAK"))</f>
        <v/>
      </c>
    </row>
    <row r="41" customFormat="false" ht="15" hidden="false" customHeight="true" outlineLevel="0" collapsed="false">
      <c r="C41" s="13"/>
      <c r="E41" s="1" t="str">
        <f aca="false">IF(A41="","",COUNTIF('Przypadki testowe'!$C$2:$C$300,"*"&amp;A41&amp;"*"))</f>
        <v/>
      </c>
      <c r="F41" s="1" t="str">
        <f aca="false">IF(A41="","",COUNTIFS('Przypadki testowe'!$C$2:$C$300,"*"&amp;A41&amp;"*",'Przypadki testowe'!$K$2:$K$300,"Zaliczony"))</f>
        <v/>
      </c>
      <c r="G41" s="1" t="str">
        <f aca="false">IF(A41="","",COUNTIFS('Przypadki testowe'!$C$2:$C$300,"*"&amp;A41&amp;"*",'Przypadki testowe'!$K$2:$K$300,"Niezaliczony"))</f>
        <v/>
      </c>
      <c r="H41" s="1" t="str">
        <f aca="false">IF(A41="","",IF(E41&gt;0,"Pokryte","BRAK"))</f>
        <v/>
      </c>
    </row>
    <row r="42" customFormat="false" ht="15" hidden="false" customHeight="true" outlineLevel="0" collapsed="false">
      <c r="C42" s="13"/>
      <c r="E42" s="1" t="str">
        <f aca="false">IF(A42="","",COUNTIF('Przypadki testowe'!$C$2:$C$300,"*"&amp;A42&amp;"*"))</f>
        <v/>
      </c>
      <c r="F42" s="1" t="str">
        <f aca="false">IF(A42="","",COUNTIFS('Przypadki testowe'!$C$2:$C$300,"*"&amp;A42&amp;"*",'Przypadki testowe'!$K$2:$K$300,"Zaliczony"))</f>
        <v/>
      </c>
      <c r="G42" s="1" t="str">
        <f aca="false">IF(A42="","",COUNTIFS('Przypadki testowe'!$C$2:$C$300,"*"&amp;A42&amp;"*",'Przypadki testowe'!$K$2:$K$300,"Niezaliczony"))</f>
        <v/>
      </c>
      <c r="H42" s="1" t="str">
        <f aca="false">IF(A42="","",IF(E42&gt;0,"Pokryte","BRAK"))</f>
        <v/>
      </c>
    </row>
    <row r="43" customFormat="false" ht="15" hidden="false" customHeight="true" outlineLevel="0" collapsed="false">
      <c r="C43" s="13"/>
      <c r="E43" s="1" t="str">
        <f aca="false">IF(A43="","",COUNTIF('Przypadki testowe'!$C$2:$C$300,"*"&amp;A43&amp;"*"))</f>
        <v/>
      </c>
      <c r="F43" s="1" t="str">
        <f aca="false">IF(A43="","",COUNTIFS('Przypadki testowe'!$C$2:$C$300,"*"&amp;A43&amp;"*",'Przypadki testowe'!$K$2:$K$300,"Zaliczony"))</f>
        <v/>
      </c>
      <c r="G43" s="1" t="str">
        <f aca="false">IF(A43="","",COUNTIFS('Przypadki testowe'!$C$2:$C$300,"*"&amp;A43&amp;"*",'Przypadki testowe'!$K$2:$K$300,"Niezaliczony"))</f>
        <v/>
      </c>
      <c r="H43" s="1" t="str">
        <f aca="false">IF(A43="","",IF(E43&gt;0,"Pokryte","BRAK"))</f>
        <v/>
      </c>
    </row>
    <row r="44" customFormat="false" ht="15" hidden="false" customHeight="true" outlineLevel="0" collapsed="false">
      <c r="C44" s="13"/>
      <c r="E44" s="1" t="str">
        <f aca="false">IF(A44="","",COUNTIF('Przypadki testowe'!$C$2:$C$300,"*"&amp;A44&amp;"*"))</f>
        <v/>
      </c>
      <c r="F44" s="1" t="str">
        <f aca="false">IF(A44="","",COUNTIFS('Przypadki testowe'!$C$2:$C$300,"*"&amp;A44&amp;"*",'Przypadki testowe'!$K$2:$K$300,"Zaliczony"))</f>
        <v/>
      </c>
      <c r="G44" s="1" t="str">
        <f aca="false">IF(A44="","",COUNTIFS('Przypadki testowe'!$C$2:$C$300,"*"&amp;A44&amp;"*",'Przypadki testowe'!$K$2:$K$300,"Niezaliczony"))</f>
        <v/>
      </c>
      <c r="H44" s="1" t="str">
        <f aca="false">IF(A44="","",IF(E44&gt;0,"Pokryte","BRAK"))</f>
        <v/>
      </c>
    </row>
    <row r="45" customFormat="false" ht="15" hidden="false" customHeight="true" outlineLevel="0" collapsed="false">
      <c r="C45" s="13"/>
      <c r="E45" s="1" t="str">
        <f aca="false">IF(A45="","",COUNTIF('Przypadki testowe'!$C$2:$C$300,"*"&amp;A45&amp;"*"))</f>
        <v/>
      </c>
      <c r="F45" s="1" t="str">
        <f aca="false">IF(A45="","",COUNTIFS('Przypadki testowe'!$C$2:$C$300,"*"&amp;A45&amp;"*",'Przypadki testowe'!$K$2:$K$300,"Zaliczony"))</f>
        <v/>
      </c>
      <c r="G45" s="1" t="str">
        <f aca="false">IF(A45="","",COUNTIFS('Przypadki testowe'!$C$2:$C$300,"*"&amp;A45&amp;"*",'Przypadki testowe'!$K$2:$K$300,"Niezaliczony"))</f>
        <v/>
      </c>
      <c r="H45" s="1" t="str">
        <f aca="false">IF(A45="","",IF(E45&gt;0,"Pokryte","BRAK"))</f>
        <v/>
      </c>
    </row>
    <row r="46" customFormat="false" ht="15" hidden="false" customHeight="true" outlineLevel="0" collapsed="false">
      <c r="C46" s="13"/>
      <c r="E46" s="1" t="str">
        <f aca="false">IF(A46="","",COUNTIF('Przypadki testowe'!$C$2:$C$300,"*"&amp;A46&amp;"*"))</f>
        <v/>
      </c>
      <c r="F46" s="1" t="str">
        <f aca="false">IF(A46="","",COUNTIFS('Przypadki testowe'!$C$2:$C$300,"*"&amp;A46&amp;"*",'Przypadki testowe'!$K$2:$K$300,"Zaliczony"))</f>
        <v/>
      </c>
      <c r="G46" s="1" t="str">
        <f aca="false">IF(A46="","",COUNTIFS('Przypadki testowe'!$C$2:$C$300,"*"&amp;A46&amp;"*",'Przypadki testowe'!$K$2:$K$300,"Niezaliczony"))</f>
        <v/>
      </c>
      <c r="H46" s="1" t="str">
        <f aca="false">IF(A46="","",IF(E46&gt;0,"Pokryte","BRAK"))</f>
        <v/>
      </c>
    </row>
    <row r="47" customFormat="false" ht="15" hidden="false" customHeight="true" outlineLevel="0" collapsed="false">
      <c r="C47" s="13"/>
      <c r="E47" s="1" t="str">
        <f aca="false">IF(A47="","",COUNTIF('Przypadki testowe'!$C$2:$C$300,"*"&amp;A47&amp;"*"))</f>
        <v/>
      </c>
      <c r="F47" s="1" t="str">
        <f aca="false">IF(A47="","",COUNTIFS('Przypadki testowe'!$C$2:$C$300,"*"&amp;A47&amp;"*",'Przypadki testowe'!$K$2:$K$300,"Zaliczony"))</f>
        <v/>
      </c>
      <c r="G47" s="1" t="str">
        <f aca="false">IF(A47="","",COUNTIFS('Przypadki testowe'!$C$2:$C$300,"*"&amp;A47&amp;"*",'Przypadki testowe'!$K$2:$K$300,"Niezaliczony"))</f>
        <v/>
      </c>
      <c r="H47" s="1" t="str">
        <f aca="false">IF(A47="","",IF(E47&gt;0,"Pokryte","BRAK"))</f>
        <v/>
      </c>
    </row>
    <row r="48" customFormat="false" ht="15" hidden="false" customHeight="true" outlineLevel="0" collapsed="false">
      <c r="C48" s="13"/>
      <c r="E48" s="1" t="str">
        <f aca="false">IF(A48="","",COUNTIF('Przypadki testowe'!$C$2:$C$300,"*"&amp;A48&amp;"*"))</f>
        <v/>
      </c>
      <c r="F48" s="1" t="str">
        <f aca="false">IF(A48="","",COUNTIFS('Przypadki testowe'!$C$2:$C$300,"*"&amp;A48&amp;"*",'Przypadki testowe'!$K$2:$K$300,"Zaliczony"))</f>
        <v/>
      </c>
      <c r="G48" s="1" t="str">
        <f aca="false">IF(A48="","",COUNTIFS('Przypadki testowe'!$C$2:$C$300,"*"&amp;A48&amp;"*",'Przypadki testowe'!$K$2:$K$300,"Niezaliczony"))</f>
        <v/>
      </c>
      <c r="H48" s="1" t="str">
        <f aca="false">IF(A48="","",IF(E48&gt;0,"Pokryte","BRAK"))</f>
        <v/>
      </c>
    </row>
    <row r="49" customFormat="false" ht="15" hidden="false" customHeight="true" outlineLevel="0" collapsed="false">
      <c r="C49" s="13"/>
      <c r="E49" s="1" t="str">
        <f aca="false">IF(A49="","",COUNTIF('Przypadki testowe'!$C$2:$C$300,"*"&amp;A49&amp;"*"))</f>
        <v/>
      </c>
      <c r="F49" s="1" t="str">
        <f aca="false">IF(A49="","",COUNTIFS('Przypadki testowe'!$C$2:$C$300,"*"&amp;A49&amp;"*",'Przypadki testowe'!$K$2:$K$300,"Zaliczony"))</f>
        <v/>
      </c>
      <c r="G49" s="1" t="str">
        <f aca="false">IF(A49="","",COUNTIFS('Przypadki testowe'!$C$2:$C$300,"*"&amp;A49&amp;"*",'Przypadki testowe'!$K$2:$K$300,"Niezaliczony"))</f>
        <v/>
      </c>
      <c r="H49" s="1" t="str">
        <f aca="false">IF(A49="","",IF(E49&gt;0,"Pokryte","BRAK"))</f>
        <v/>
      </c>
    </row>
    <row r="50" customFormat="false" ht="15" hidden="false" customHeight="true" outlineLevel="0" collapsed="false">
      <c r="C50" s="13"/>
      <c r="E50" s="1" t="str">
        <f aca="false">IF(A50="","",COUNTIF('Przypadki testowe'!$C$2:$C$300,"*"&amp;A50&amp;"*"))</f>
        <v/>
      </c>
      <c r="F50" s="1" t="str">
        <f aca="false">IF(A50="","",COUNTIFS('Przypadki testowe'!$C$2:$C$300,"*"&amp;A50&amp;"*",'Przypadki testowe'!$K$2:$K$300,"Zaliczony"))</f>
        <v/>
      </c>
      <c r="G50" s="1" t="str">
        <f aca="false">IF(A50="","",COUNTIFS('Przypadki testowe'!$C$2:$C$300,"*"&amp;A50&amp;"*",'Przypadki testowe'!$K$2:$K$300,"Niezaliczony"))</f>
        <v/>
      </c>
      <c r="H50" s="1" t="str">
        <f aca="false">IF(A50="","",IF(E50&gt;0,"Pokryte","BRAK"))</f>
        <v/>
      </c>
    </row>
    <row r="51" customFormat="false" ht="15" hidden="false" customHeight="true" outlineLevel="0" collapsed="false">
      <c r="C51" s="13"/>
      <c r="E51" s="1" t="str">
        <f aca="false">IF(A51="","",COUNTIF('Przypadki testowe'!$C$2:$C$300,"*"&amp;A51&amp;"*"))</f>
        <v/>
      </c>
      <c r="F51" s="1" t="str">
        <f aca="false">IF(A51="","",COUNTIFS('Przypadki testowe'!$C$2:$C$300,"*"&amp;A51&amp;"*",'Przypadki testowe'!$K$2:$K$300,"Zaliczony"))</f>
        <v/>
      </c>
      <c r="G51" s="1" t="str">
        <f aca="false">IF(A51="","",COUNTIFS('Przypadki testowe'!$C$2:$C$300,"*"&amp;A51&amp;"*",'Przypadki testowe'!$K$2:$K$300,"Niezaliczony"))</f>
        <v/>
      </c>
      <c r="H51" s="1" t="str">
        <f aca="false">IF(A51="","",IF(E51&gt;0,"Pokryte","BRAK"))</f>
        <v/>
      </c>
    </row>
    <row r="52" customFormat="false" ht="15" hidden="false" customHeight="true" outlineLevel="0" collapsed="false">
      <c r="C52" s="13"/>
      <c r="E52" s="1" t="str">
        <f aca="false">IF(A52="","",COUNTIF('Przypadki testowe'!$C$2:$C$300,"*"&amp;A52&amp;"*"))</f>
        <v/>
      </c>
      <c r="F52" s="1" t="str">
        <f aca="false">IF(A52="","",COUNTIFS('Przypadki testowe'!$C$2:$C$300,"*"&amp;A52&amp;"*",'Przypadki testowe'!$K$2:$K$300,"Zaliczony"))</f>
        <v/>
      </c>
      <c r="G52" s="1" t="str">
        <f aca="false">IF(A52="","",COUNTIFS('Przypadki testowe'!$C$2:$C$300,"*"&amp;A52&amp;"*",'Przypadki testowe'!$K$2:$K$300,"Niezaliczony"))</f>
        <v/>
      </c>
      <c r="H52" s="1" t="str">
        <f aca="false">IF(A52="","",IF(E52&gt;0,"Pokryte","BRAK"))</f>
        <v/>
      </c>
    </row>
    <row r="53" customFormat="false" ht="15" hidden="false" customHeight="true" outlineLevel="0" collapsed="false">
      <c r="C53" s="13"/>
      <c r="E53" s="1" t="str">
        <f aca="false">IF(A53="","",COUNTIF('Przypadki testowe'!$C$2:$C$300,"*"&amp;A53&amp;"*"))</f>
        <v/>
      </c>
      <c r="F53" s="1" t="str">
        <f aca="false">IF(A53="","",COUNTIFS('Przypadki testowe'!$C$2:$C$300,"*"&amp;A53&amp;"*",'Przypadki testowe'!$K$2:$K$300,"Zaliczony"))</f>
        <v/>
      </c>
      <c r="G53" s="1" t="str">
        <f aca="false">IF(A53="","",COUNTIFS('Przypadki testowe'!$C$2:$C$300,"*"&amp;A53&amp;"*",'Przypadki testowe'!$K$2:$K$300,"Niezaliczony"))</f>
        <v/>
      </c>
      <c r="H53" s="1" t="str">
        <f aca="false">IF(A53="","",IF(E53&gt;0,"Pokryte","BRAK"))</f>
        <v/>
      </c>
    </row>
    <row r="54" customFormat="false" ht="15" hidden="false" customHeight="true" outlineLevel="0" collapsed="false">
      <c r="C54" s="13"/>
      <c r="E54" s="1" t="str">
        <f aca="false">IF(A54="","",COUNTIF('Przypadki testowe'!$C$2:$C$300,"*"&amp;A54&amp;"*"))</f>
        <v/>
      </c>
      <c r="F54" s="1" t="str">
        <f aca="false">IF(A54="","",COUNTIFS('Przypadki testowe'!$C$2:$C$300,"*"&amp;A54&amp;"*",'Przypadki testowe'!$K$2:$K$300,"Zaliczony"))</f>
        <v/>
      </c>
      <c r="G54" s="1" t="str">
        <f aca="false">IF(A54="","",COUNTIFS('Przypadki testowe'!$C$2:$C$300,"*"&amp;A54&amp;"*",'Przypadki testowe'!$K$2:$K$300,"Niezaliczony"))</f>
        <v/>
      </c>
      <c r="H54" s="1" t="str">
        <f aca="false">IF(A54="","",IF(E54&gt;0,"Pokryte","BRAK"))</f>
        <v/>
      </c>
    </row>
    <row r="55" customFormat="false" ht="15" hidden="false" customHeight="true" outlineLevel="0" collapsed="false">
      <c r="C55" s="13"/>
      <c r="E55" s="1" t="str">
        <f aca="false">IF(A55="","",COUNTIF('Przypadki testowe'!$C$2:$C$300,"*"&amp;A55&amp;"*"))</f>
        <v/>
      </c>
      <c r="F55" s="1" t="str">
        <f aca="false">IF(A55="","",COUNTIFS('Przypadki testowe'!$C$2:$C$300,"*"&amp;A55&amp;"*",'Przypadki testowe'!$K$2:$K$300,"Zaliczony"))</f>
        <v/>
      </c>
      <c r="G55" s="1" t="str">
        <f aca="false">IF(A55="","",COUNTIFS('Przypadki testowe'!$C$2:$C$300,"*"&amp;A55&amp;"*",'Przypadki testowe'!$K$2:$K$300,"Niezaliczony"))</f>
        <v/>
      </c>
      <c r="H55" s="1" t="str">
        <f aca="false">IF(A55="","",IF(E55&gt;0,"Pokryte","BRAK"))</f>
        <v/>
      </c>
    </row>
    <row r="56" customFormat="false" ht="15" hidden="false" customHeight="true" outlineLevel="0" collapsed="false">
      <c r="C56" s="13"/>
      <c r="E56" s="1" t="str">
        <f aca="false">IF(A56="","",COUNTIF('Przypadki testowe'!$C$2:$C$300,"*"&amp;A56&amp;"*"))</f>
        <v/>
      </c>
      <c r="F56" s="1" t="str">
        <f aca="false">IF(A56="","",COUNTIFS('Przypadki testowe'!$C$2:$C$300,"*"&amp;A56&amp;"*",'Przypadki testowe'!$K$2:$K$300,"Zaliczony"))</f>
        <v/>
      </c>
      <c r="G56" s="1" t="str">
        <f aca="false">IF(A56="","",COUNTIFS('Przypadki testowe'!$C$2:$C$300,"*"&amp;A56&amp;"*",'Przypadki testowe'!$K$2:$K$300,"Niezaliczony"))</f>
        <v/>
      </c>
      <c r="H56" s="1" t="str">
        <f aca="false">IF(A56="","",IF(E56&gt;0,"Pokryte","BRAK"))</f>
        <v/>
      </c>
    </row>
    <row r="57" customFormat="false" ht="15" hidden="false" customHeight="true" outlineLevel="0" collapsed="false">
      <c r="C57" s="13"/>
      <c r="E57" s="1" t="str">
        <f aca="false">IF(A57="","",COUNTIF('Przypadki testowe'!$C$2:$C$300,"*"&amp;A57&amp;"*"))</f>
        <v/>
      </c>
      <c r="F57" s="1" t="str">
        <f aca="false">IF(A57="","",COUNTIFS('Przypadki testowe'!$C$2:$C$300,"*"&amp;A57&amp;"*",'Przypadki testowe'!$K$2:$K$300,"Zaliczony"))</f>
        <v/>
      </c>
      <c r="G57" s="1" t="str">
        <f aca="false">IF(A57="","",COUNTIFS('Przypadki testowe'!$C$2:$C$300,"*"&amp;A57&amp;"*",'Przypadki testowe'!$K$2:$K$300,"Niezaliczony"))</f>
        <v/>
      </c>
      <c r="H57" s="1" t="str">
        <f aca="false">IF(A57="","",IF(E57&gt;0,"Pokryte","BRAK"))</f>
        <v/>
      </c>
    </row>
    <row r="58" customFormat="false" ht="15" hidden="false" customHeight="true" outlineLevel="0" collapsed="false">
      <c r="C58" s="13"/>
      <c r="E58" s="1" t="str">
        <f aca="false">IF(A58="","",COUNTIF('Przypadki testowe'!$C$2:$C$300,"*"&amp;A58&amp;"*"))</f>
        <v/>
      </c>
      <c r="F58" s="1" t="str">
        <f aca="false">IF(A58="","",COUNTIFS('Przypadki testowe'!$C$2:$C$300,"*"&amp;A58&amp;"*",'Przypadki testowe'!$K$2:$K$300,"Zaliczony"))</f>
        <v/>
      </c>
      <c r="G58" s="1" t="str">
        <f aca="false">IF(A58="","",COUNTIFS('Przypadki testowe'!$C$2:$C$300,"*"&amp;A58&amp;"*",'Przypadki testowe'!$K$2:$K$300,"Niezaliczony"))</f>
        <v/>
      </c>
      <c r="H58" s="1" t="str">
        <f aca="false">IF(A58="","",IF(E58&gt;0,"Pokryte","BRAK"))</f>
        <v/>
      </c>
    </row>
    <row r="59" customFormat="false" ht="15" hidden="false" customHeight="true" outlineLevel="0" collapsed="false">
      <c r="C59" s="13"/>
      <c r="E59" s="1" t="str">
        <f aca="false">IF(A59="","",COUNTIF('Przypadki testowe'!$C$2:$C$300,"*"&amp;A59&amp;"*"))</f>
        <v/>
      </c>
      <c r="F59" s="1" t="str">
        <f aca="false">IF(A59="","",COUNTIFS('Przypadki testowe'!$C$2:$C$300,"*"&amp;A59&amp;"*",'Przypadki testowe'!$K$2:$K$300,"Zaliczony"))</f>
        <v/>
      </c>
      <c r="G59" s="1" t="str">
        <f aca="false">IF(A59="","",COUNTIFS('Przypadki testowe'!$C$2:$C$300,"*"&amp;A59&amp;"*",'Przypadki testowe'!$K$2:$K$300,"Niezaliczony"))</f>
        <v/>
      </c>
      <c r="H59" s="1" t="str">
        <f aca="false">IF(A59="","",IF(E59&gt;0,"Pokryte","BRAK"))</f>
        <v/>
      </c>
    </row>
    <row r="60" customFormat="false" ht="15" hidden="false" customHeight="true" outlineLevel="0" collapsed="false">
      <c r="C60" s="13"/>
      <c r="E60" s="1" t="str">
        <f aca="false">IF(A60="","",COUNTIF('Przypadki testowe'!$C$2:$C$300,"*"&amp;A60&amp;"*"))</f>
        <v/>
      </c>
      <c r="F60" s="1" t="str">
        <f aca="false">IF(A60="","",COUNTIFS('Przypadki testowe'!$C$2:$C$300,"*"&amp;A60&amp;"*",'Przypadki testowe'!$K$2:$K$300,"Zaliczony"))</f>
        <v/>
      </c>
      <c r="G60" s="1" t="str">
        <f aca="false">IF(A60="","",COUNTIFS('Przypadki testowe'!$C$2:$C$300,"*"&amp;A60&amp;"*",'Przypadki testowe'!$K$2:$K$300,"Niezaliczony"))</f>
        <v/>
      </c>
      <c r="H60" s="1" t="str">
        <f aca="false">IF(A60="","",IF(E60&gt;0,"Pokryte","BRAK"))</f>
        <v/>
      </c>
    </row>
    <row r="61" customFormat="false" ht="15" hidden="false" customHeight="true" outlineLevel="0" collapsed="false">
      <c r="C61" s="13"/>
      <c r="E61" s="1" t="str">
        <f aca="false">IF(A61="","",COUNTIF('Przypadki testowe'!$C$2:$C$300,"*"&amp;A61&amp;"*"))</f>
        <v/>
      </c>
      <c r="F61" s="1" t="str">
        <f aca="false">IF(A61="","",COUNTIFS('Przypadki testowe'!$C$2:$C$300,"*"&amp;A61&amp;"*",'Przypadki testowe'!$K$2:$K$300,"Zaliczony"))</f>
        <v/>
      </c>
      <c r="G61" s="1" t="str">
        <f aca="false">IF(A61="","",COUNTIFS('Przypadki testowe'!$C$2:$C$300,"*"&amp;A61&amp;"*",'Przypadki testowe'!$K$2:$K$300,"Niezaliczony"))</f>
        <v/>
      </c>
      <c r="H61" s="1" t="str">
        <f aca="false">IF(A61="","",IF(E61&gt;0,"Pokryte","BRAK"))</f>
        <v/>
      </c>
    </row>
    <row r="62" customFormat="false" ht="15" hidden="false" customHeight="true" outlineLevel="0" collapsed="false">
      <c r="C62" s="13"/>
      <c r="E62" s="1" t="str">
        <f aca="false">IF(A62="","",COUNTIF('Przypadki testowe'!$C$2:$C$300,"*"&amp;A62&amp;"*"))</f>
        <v/>
      </c>
      <c r="F62" s="1" t="str">
        <f aca="false">IF(A62="","",COUNTIFS('Przypadki testowe'!$C$2:$C$300,"*"&amp;A62&amp;"*",'Przypadki testowe'!$K$2:$K$300,"Zaliczony"))</f>
        <v/>
      </c>
      <c r="G62" s="1" t="str">
        <f aca="false">IF(A62="","",COUNTIFS('Przypadki testowe'!$C$2:$C$300,"*"&amp;A62&amp;"*",'Przypadki testowe'!$K$2:$K$300,"Niezaliczony"))</f>
        <v/>
      </c>
      <c r="H62" s="1" t="str">
        <f aca="false">IF(A62="","",IF(E62&gt;0,"Pokryte","BRAK"))</f>
        <v/>
      </c>
    </row>
    <row r="63" customFormat="false" ht="15" hidden="false" customHeight="true" outlineLevel="0" collapsed="false">
      <c r="C63" s="13"/>
      <c r="E63" s="1" t="str">
        <f aca="false">IF(A63="","",COUNTIF('Przypadki testowe'!$C$2:$C$300,"*"&amp;A63&amp;"*"))</f>
        <v/>
      </c>
      <c r="F63" s="1" t="str">
        <f aca="false">IF(A63="","",COUNTIFS('Przypadki testowe'!$C$2:$C$300,"*"&amp;A63&amp;"*",'Przypadki testowe'!$K$2:$K$300,"Zaliczony"))</f>
        <v/>
      </c>
      <c r="G63" s="1" t="str">
        <f aca="false">IF(A63="","",COUNTIFS('Przypadki testowe'!$C$2:$C$300,"*"&amp;A63&amp;"*",'Przypadki testowe'!$K$2:$K$300,"Niezaliczony"))</f>
        <v/>
      </c>
      <c r="H63" s="1" t="str">
        <f aca="false">IF(A63="","",IF(E63&gt;0,"Pokryte","BRAK"))</f>
        <v/>
      </c>
    </row>
    <row r="64" customFormat="false" ht="15" hidden="false" customHeight="true" outlineLevel="0" collapsed="false">
      <c r="C64" s="13"/>
      <c r="E64" s="1" t="str">
        <f aca="false">IF(A64="","",COUNTIF('Przypadki testowe'!$C$2:$C$300,"*"&amp;A64&amp;"*"))</f>
        <v/>
      </c>
      <c r="F64" s="1" t="str">
        <f aca="false">IF(A64="","",COUNTIFS('Przypadki testowe'!$C$2:$C$300,"*"&amp;A64&amp;"*",'Przypadki testowe'!$K$2:$K$300,"Zaliczony"))</f>
        <v/>
      </c>
      <c r="G64" s="1" t="str">
        <f aca="false">IF(A64="","",COUNTIFS('Przypadki testowe'!$C$2:$C$300,"*"&amp;A64&amp;"*",'Przypadki testowe'!$K$2:$K$300,"Niezaliczony"))</f>
        <v/>
      </c>
      <c r="H64" s="1" t="str">
        <f aca="false">IF(A64="","",IF(E64&gt;0,"Pokryte","BRAK"))</f>
        <v/>
      </c>
    </row>
    <row r="65" customFormat="false" ht="15" hidden="false" customHeight="true" outlineLevel="0" collapsed="false">
      <c r="C65" s="13"/>
      <c r="E65" s="1" t="str">
        <f aca="false">IF(A65="","",COUNTIF('Przypadki testowe'!$C$2:$C$300,"*"&amp;A65&amp;"*"))</f>
        <v/>
      </c>
      <c r="F65" s="1" t="str">
        <f aca="false">IF(A65="","",COUNTIFS('Przypadki testowe'!$C$2:$C$300,"*"&amp;A65&amp;"*",'Przypadki testowe'!$K$2:$K$300,"Zaliczony"))</f>
        <v/>
      </c>
      <c r="G65" s="1" t="str">
        <f aca="false">IF(A65="","",COUNTIFS('Przypadki testowe'!$C$2:$C$300,"*"&amp;A65&amp;"*",'Przypadki testowe'!$K$2:$K$300,"Niezaliczony"))</f>
        <v/>
      </c>
      <c r="H65" s="1" t="str">
        <f aca="false">IF(A65="","",IF(E65&gt;0,"Pokryte","BRAK"))</f>
        <v/>
      </c>
    </row>
    <row r="66" customFormat="false" ht="15" hidden="false" customHeight="true" outlineLevel="0" collapsed="false">
      <c r="C66" s="13"/>
      <c r="E66" s="1" t="str">
        <f aca="false">IF(A66="","",COUNTIF('Przypadki testowe'!$C$2:$C$300,"*"&amp;A66&amp;"*"))</f>
        <v/>
      </c>
      <c r="F66" s="1" t="str">
        <f aca="false">IF(A66="","",COUNTIFS('Przypadki testowe'!$C$2:$C$300,"*"&amp;A66&amp;"*",'Przypadki testowe'!$K$2:$K$300,"Zaliczony"))</f>
        <v/>
      </c>
      <c r="G66" s="1" t="str">
        <f aca="false">IF(A66="","",COUNTIFS('Przypadki testowe'!$C$2:$C$300,"*"&amp;A66&amp;"*",'Przypadki testowe'!$K$2:$K$300,"Niezaliczony"))</f>
        <v/>
      </c>
      <c r="H66" s="1" t="str">
        <f aca="false">IF(A66="","",IF(E66&gt;0,"Pokryte","BRAK"))</f>
        <v/>
      </c>
    </row>
    <row r="67" customFormat="false" ht="15" hidden="false" customHeight="true" outlineLevel="0" collapsed="false">
      <c r="C67" s="13"/>
      <c r="E67" s="1" t="str">
        <f aca="false">IF(A67="","",COUNTIF('Przypadki testowe'!$C$2:$C$300,"*"&amp;A67&amp;"*"))</f>
        <v/>
      </c>
      <c r="F67" s="1" t="str">
        <f aca="false">IF(A67="","",COUNTIFS('Przypadki testowe'!$C$2:$C$300,"*"&amp;A67&amp;"*",'Przypadki testowe'!$K$2:$K$300,"Zaliczony"))</f>
        <v/>
      </c>
      <c r="G67" s="1" t="str">
        <f aca="false">IF(A67="","",COUNTIFS('Przypadki testowe'!$C$2:$C$300,"*"&amp;A67&amp;"*",'Przypadki testowe'!$K$2:$K$300,"Niezaliczony"))</f>
        <v/>
      </c>
      <c r="H67" s="1" t="str">
        <f aca="false">IF(A67="","",IF(E67&gt;0,"Pokryte","BRAK"))</f>
        <v/>
      </c>
    </row>
    <row r="68" customFormat="false" ht="15" hidden="false" customHeight="true" outlineLevel="0" collapsed="false">
      <c r="C68" s="13"/>
      <c r="E68" s="1" t="str">
        <f aca="false">IF(A68="","",COUNTIF('Przypadki testowe'!$C$2:$C$300,"*"&amp;A68&amp;"*"))</f>
        <v/>
      </c>
      <c r="F68" s="1" t="str">
        <f aca="false">IF(A68="","",COUNTIFS('Przypadki testowe'!$C$2:$C$300,"*"&amp;A68&amp;"*",'Przypadki testowe'!$K$2:$K$300,"Zaliczony"))</f>
        <v/>
      </c>
      <c r="G68" s="1" t="str">
        <f aca="false">IF(A68="","",COUNTIFS('Przypadki testowe'!$C$2:$C$300,"*"&amp;A68&amp;"*",'Przypadki testowe'!$K$2:$K$300,"Niezaliczony"))</f>
        <v/>
      </c>
      <c r="H68" s="1" t="str">
        <f aca="false">IF(A68="","",IF(E68&gt;0,"Pokryte","BRAK"))</f>
        <v/>
      </c>
    </row>
    <row r="69" customFormat="false" ht="15" hidden="false" customHeight="true" outlineLevel="0" collapsed="false">
      <c r="C69" s="13"/>
      <c r="E69" s="1" t="str">
        <f aca="false">IF(A69="","",COUNTIF('Przypadki testowe'!$C$2:$C$300,"*"&amp;A69&amp;"*"))</f>
        <v/>
      </c>
      <c r="F69" s="1" t="str">
        <f aca="false">IF(A69="","",COUNTIFS('Przypadki testowe'!$C$2:$C$300,"*"&amp;A69&amp;"*",'Przypadki testowe'!$K$2:$K$300,"Zaliczony"))</f>
        <v/>
      </c>
      <c r="G69" s="1" t="str">
        <f aca="false">IF(A69="","",COUNTIFS('Przypadki testowe'!$C$2:$C$300,"*"&amp;A69&amp;"*",'Przypadki testowe'!$K$2:$K$300,"Niezaliczony"))</f>
        <v/>
      </c>
      <c r="H69" s="1" t="str">
        <f aca="false">IF(A69="","",IF(E69&gt;0,"Pokryte","BRAK"))</f>
        <v/>
      </c>
    </row>
    <row r="70" customFormat="false" ht="15" hidden="false" customHeight="true" outlineLevel="0" collapsed="false">
      <c r="C70" s="13"/>
      <c r="E70" s="1" t="str">
        <f aca="false">IF(A70="","",COUNTIF('Przypadki testowe'!$C$2:$C$300,"*"&amp;A70&amp;"*"))</f>
        <v/>
      </c>
      <c r="F70" s="1" t="str">
        <f aca="false">IF(A70="","",COUNTIFS('Przypadki testowe'!$C$2:$C$300,"*"&amp;A70&amp;"*",'Przypadki testowe'!$K$2:$K$300,"Zaliczony"))</f>
        <v/>
      </c>
      <c r="G70" s="1" t="str">
        <f aca="false">IF(A70="","",COUNTIFS('Przypadki testowe'!$C$2:$C$300,"*"&amp;A70&amp;"*",'Przypadki testowe'!$K$2:$K$300,"Niezaliczony"))</f>
        <v/>
      </c>
      <c r="H70" s="1" t="str">
        <f aca="false">IF(A70="","",IF(E70&gt;0,"Pokryte","BRAK"))</f>
        <v/>
      </c>
    </row>
    <row r="71" customFormat="false" ht="15" hidden="false" customHeight="true" outlineLevel="0" collapsed="false">
      <c r="C71" s="13"/>
      <c r="E71" s="1" t="str">
        <f aca="false">IF(A71="","",COUNTIF('Przypadki testowe'!$C$2:$C$300,"*"&amp;A71&amp;"*"))</f>
        <v/>
      </c>
      <c r="F71" s="1" t="str">
        <f aca="false">IF(A71="","",COUNTIFS('Przypadki testowe'!$C$2:$C$300,"*"&amp;A71&amp;"*",'Przypadki testowe'!$K$2:$K$300,"Zaliczony"))</f>
        <v/>
      </c>
      <c r="G71" s="1" t="str">
        <f aca="false">IF(A71="","",COUNTIFS('Przypadki testowe'!$C$2:$C$300,"*"&amp;A71&amp;"*",'Przypadki testowe'!$K$2:$K$300,"Niezaliczony"))</f>
        <v/>
      </c>
      <c r="H71" s="1" t="str">
        <f aca="false">IF(A71="","",IF(E71&gt;0,"Pokryte","BRAK"))</f>
        <v/>
      </c>
    </row>
    <row r="72" customFormat="false" ht="15" hidden="false" customHeight="true" outlineLevel="0" collapsed="false">
      <c r="C72" s="13"/>
      <c r="E72" s="1" t="str">
        <f aca="false">IF(A72="","",COUNTIF('Przypadki testowe'!$C$2:$C$300,"*"&amp;A72&amp;"*"))</f>
        <v/>
      </c>
      <c r="F72" s="1" t="str">
        <f aca="false">IF(A72="","",COUNTIFS('Przypadki testowe'!$C$2:$C$300,"*"&amp;A72&amp;"*",'Przypadki testowe'!$K$2:$K$300,"Zaliczony"))</f>
        <v/>
      </c>
      <c r="G72" s="1" t="str">
        <f aca="false">IF(A72="","",COUNTIFS('Przypadki testowe'!$C$2:$C$300,"*"&amp;A72&amp;"*",'Przypadki testowe'!$K$2:$K$300,"Niezaliczony"))</f>
        <v/>
      </c>
      <c r="H72" s="1" t="str">
        <f aca="false">IF(A72="","",IF(E72&gt;0,"Pokryte","BRAK"))</f>
        <v/>
      </c>
    </row>
    <row r="73" customFormat="false" ht="15" hidden="false" customHeight="true" outlineLevel="0" collapsed="false">
      <c r="C73" s="13"/>
      <c r="E73" s="1" t="str">
        <f aca="false">IF(A73="","",COUNTIF('Przypadki testowe'!$C$2:$C$300,"*"&amp;A73&amp;"*"))</f>
        <v/>
      </c>
      <c r="F73" s="1" t="str">
        <f aca="false">IF(A73="","",COUNTIFS('Przypadki testowe'!$C$2:$C$300,"*"&amp;A73&amp;"*",'Przypadki testowe'!$K$2:$K$300,"Zaliczony"))</f>
        <v/>
      </c>
      <c r="G73" s="1" t="str">
        <f aca="false">IF(A73="","",COUNTIFS('Przypadki testowe'!$C$2:$C$300,"*"&amp;A73&amp;"*",'Przypadki testowe'!$K$2:$K$300,"Niezaliczony"))</f>
        <v/>
      </c>
      <c r="H73" s="1" t="str">
        <f aca="false">IF(A73="","",IF(E73&gt;0,"Pokryte","BRAK"))</f>
        <v/>
      </c>
    </row>
    <row r="74" customFormat="false" ht="15" hidden="false" customHeight="true" outlineLevel="0" collapsed="false">
      <c r="C74" s="13"/>
      <c r="E74" s="1" t="str">
        <f aca="false">IF(A74="","",COUNTIF('Przypadki testowe'!$C$2:$C$300,"*"&amp;A74&amp;"*"))</f>
        <v/>
      </c>
      <c r="F74" s="1" t="str">
        <f aca="false">IF(A74="","",COUNTIFS('Przypadki testowe'!$C$2:$C$300,"*"&amp;A74&amp;"*",'Przypadki testowe'!$K$2:$K$300,"Zaliczony"))</f>
        <v/>
      </c>
      <c r="G74" s="1" t="str">
        <f aca="false">IF(A74="","",COUNTIFS('Przypadki testowe'!$C$2:$C$300,"*"&amp;A74&amp;"*",'Przypadki testowe'!$K$2:$K$300,"Niezaliczony"))</f>
        <v/>
      </c>
      <c r="H74" s="1" t="str">
        <f aca="false">IF(A74="","",IF(E74&gt;0,"Pokryte","BRAK"))</f>
        <v/>
      </c>
    </row>
    <row r="75" customFormat="false" ht="15" hidden="false" customHeight="true" outlineLevel="0" collapsed="false">
      <c r="C75" s="13"/>
      <c r="E75" s="1" t="str">
        <f aca="false">IF(A75="","",COUNTIF('Przypadki testowe'!$C$2:$C$300,"*"&amp;A75&amp;"*"))</f>
        <v/>
      </c>
      <c r="F75" s="1" t="str">
        <f aca="false">IF(A75="","",COUNTIFS('Przypadki testowe'!$C$2:$C$300,"*"&amp;A75&amp;"*",'Przypadki testowe'!$K$2:$K$300,"Zaliczony"))</f>
        <v/>
      </c>
      <c r="G75" s="1" t="str">
        <f aca="false">IF(A75="","",COUNTIFS('Przypadki testowe'!$C$2:$C$300,"*"&amp;A75&amp;"*",'Przypadki testowe'!$K$2:$K$300,"Niezaliczony"))</f>
        <v/>
      </c>
      <c r="H75" s="1" t="str">
        <f aca="false">IF(A75="","",IF(E75&gt;0,"Pokryte","BRAK"))</f>
        <v/>
      </c>
    </row>
    <row r="76" customFormat="false" ht="15" hidden="false" customHeight="true" outlineLevel="0" collapsed="false">
      <c r="C76" s="13"/>
      <c r="E76" s="1" t="str">
        <f aca="false">IF(A76="","",COUNTIF('Przypadki testowe'!$C$2:$C$300,"*"&amp;A76&amp;"*"))</f>
        <v/>
      </c>
      <c r="F76" s="1" t="str">
        <f aca="false">IF(A76="","",COUNTIFS('Przypadki testowe'!$C$2:$C$300,"*"&amp;A76&amp;"*",'Przypadki testowe'!$K$2:$K$300,"Zaliczony"))</f>
        <v/>
      </c>
      <c r="G76" s="1" t="str">
        <f aca="false">IF(A76="","",COUNTIFS('Przypadki testowe'!$C$2:$C$300,"*"&amp;A76&amp;"*",'Przypadki testowe'!$K$2:$K$300,"Niezaliczony"))</f>
        <v/>
      </c>
      <c r="H76" s="1" t="str">
        <f aca="false">IF(A76="","",IF(E76&gt;0,"Pokryte","BRAK"))</f>
        <v/>
      </c>
    </row>
    <row r="77" customFormat="false" ht="15" hidden="false" customHeight="true" outlineLevel="0" collapsed="false">
      <c r="C77" s="13"/>
      <c r="E77" s="1" t="str">
        <f aca="false">IF(A77="","",COUNTIF('Przypadki testowe'!$C$2:$C$300,"*"&amp;A77&amp;"*"))</f>
        <v/>
      </c>
      <c r="F77" s="1" t="str">
        <f aca="false">IF(A77="","",COUNTIFS('Przypadki testowe'!$C$2:$C$300,"*"&amp;A77&amp;"*",'Przypadki testowe'!$K$2:$K$300,"Zaliczony"))</f>
        <v/>
      </c>
      <c r="G77" s="1" t="str">
        <f aca="false">IF(A77="","",COUNTIFS('Przypadki testowe'!$C$2:$C$300,"*"&amp;A77&amp;"*",'Przypadki testowe'!$K$2:$K$300,"Niezaliczony"))</f>
        <v/>
      </c>
      <c r="H77" s="1" t="str">
        <f aca="false">IF(A77="","",IF(E77&gt;0,"Pokryte","BRAK"))</f>
        <v/>
      </c>
    </row>
    <row r="78" customFormat="false" ht="15" hidden="false" customHeight="true" outlineLevel="0" collapsed="false">
      <c r="C78" s="13"/>
      <c r="E78" s="1" t="str">
        <f aca="false">IF(A78="","",COUNTIF('Przypadki testowe'!$C$2:$C$300,"*"&amp;A78&amp;"*"))</f>
        <v/>
      </c>
      <c r="F78" s="1" t="str">
        <f aca="false">IF(A78="","",COUNTIFS('Przypadki testowe'!$C$2:$C$300,"*"&amp;A78&amp;"*",'Przypadki testowe'!$K$2:$K$300,"Zaliczony"))</f>
        <v/>
      </c>
      <c r="G78" s="1" t="str">
        <f aca="false">IF(A78="","",COUNTIFS('Przypadki testowe'!$C$2:$C$300,"*"&amp;A78&amp;"*",'Przypadki testowe'!$K$2:$K$300,"Niezaliczony"))</f>
        <v/>
      </c>
      <c r="H78" s="1" t="str">
        <f aca="false">IF(A78="","",IF(E78&gt;0,"Pokryte","BRAK"))</f>
        <v/>
      </c>
    </row>
    <row r="79" customFormat="false" ht="15" hidden="false" customHeight="true" outlineLevel="0" collapsed="false">
      <c r="C79" s="13"/>
      <c r="E79" s="1" t="str">
        <f aca="false">IF(A79="","",COUNTIF('Przypadki testowe'!$C$2:$C$300,"*"&amp;A79&amp;"*"))</f>
        <v/>
      </c>
      <c r="F79" s="1" t="str">
        <f aca="false">IF(A79="","",COUNTIFS('Przypadki testowe'!$C$2:$C$300,"*"&amp;A79&amp;"*",'Przypadki testowe'!$K$2:$K$300,"Zaliczony"))</f>
        <v/>
      </c>
      <c r="G79" s="1" t="str">
        <f aca="false">IF(A79="","",COUNTIFS('Przypadki testowe'!$C$2:$C$300,"*"&amp;A79&amp;"*",'Przypadki testowe'!$K$2:$K$300,"Niezaliczony"))</f>
        <v/>
      </c>
      <c r="H79" s="1" t="str">
        <f aca="false">IF(A79="","",IF(E79&gt;0,"Pokryte","BRAK"))</f>
        <v/>
      </c>
    </row>
    <row r="80" customFormat="false" ht="15" hidden="false" customHeight="true" outlineLevel="0" collapsed="false">
      <c r="C80" s="13"/>
      <c r="E80" s="1" t="str">
        <f aca="false">IF(A80="","",COUNTIF('Przypadki testowe'!$C$2:$C$300,"*"&amp;A80&amp;"*"))</f>
        <v/>
      </c>
      <c r="F80" s="1" t="str">
        <f aca="false">IF(A80="","",COUNTIFS('Przypadki testowe'!$C$2:$C$300,"*"&amp;A80&amp;"*",'Przypadki testowe'!$K$2:$K$300,"Zaliczony"))</f>
        <v/>
      </c>
      <c r="G80" s="1" t="str">
        <f aca="false">IF(A80="","",COUNTIFS('Przypadki testowe'!$C$2:$C$300,"*"&amp;A80&amp;"*",'Przypadki testowe'!$K$2:$K$300,"Niezaliczony"))</f>
        <v/>
      </c>
      <c r="H80" s="1" t="str">
        <f aca="false">IF(A80="","",IF(E80&gt;0,"Pokryte","BRAK"))</f>
        <v/>
      </c>
    </row>
    <row r="81" customFormat="false" ht="15" hidden="false" customHeight="true" outlineLevel="0" collapsed="false">
      <c r="C81" s="13"/>
      <c r="E81" s="1" t="str">
        <f aca="false">IF(A81="","",COUNTIF('Przypadki testowe'!$C$2:$C$300,"*"&amp;A81&amp;"*"))</f>
        <v/>
      </c>
      <c r="F81" s="1" t="str">
        <f aca="false">IF(A81="","",COUNTIFS('Przypadki testowe'!$C$2:$C$300,"*"&amp;A81&amp;"*",'Przypadki testowe'!$K$2:$K$300,"Zaliczony"))</f>
        <v/>
      </c>
      <c r="G81" s="1" t="str">
        <f aca="false">IF(A81="","",COUNTIFS('Przypadki testowe'!$C$2:$C$300,"*"&amp;A81&amp;"*",'Przypadki testowe'!$K$2:$K$300,"Niezaliczony"))</f>
        <v/>
      </c>
      <c r="H81" s="1" t="str">
        <f aca="false">IF(A81="","",IF(E81&gt;0,"Pokryte","BRAK"))</f>
        <v/>
      </c>
    </row>
    <row r="82" customFormat="false" ht="15" hidden="false" customHeight="true" outlineLevel="0" collapsed="false">
      <c r="C82" s="13"/>
      <c r="E82" s="1" t="str">
        <f aca="false">IF(A82="","",COUNTIF('Przypadki testowe'!$C$2:$C$300,"*"&amp;A82&amp;"*"))</f>
        <v/>
      </c>
      <c r="F82" s="1" t="str">
        <f aca="false">IF(A82="","",COUNTIFS('Przypadki testowe'!$C$2:$C$300,"*"&amp;A82&amp;"*",'Przypadki testowe'!$K$2:$K$300,"Zaliczony"))</f>
        <v/>
      </c>
      <c r="G82" s="1" t="str">
        <f aca="false">IF(A82="","",COUNTIFS('Przypadki testowe'!$C$2:$C$300,"*"&amp;A82&amp;"*",'Przypadki testowe'!$K$2:$K$300,"Niezaliczony"))</f>
        <v/>
      </c>
      <c r="H82" s="1" t="str">
        <f aca="false">IF(A82="","",IF(E82&gt;0,"Pokryte","BRAK"))</f>
        <v/>
      </c>
    </row>
    <row r="83" customFormat="false" ht="15" hidden="false" customHeight="true" outlineLevel="0" collapsed="false">
      <c r="C83" s="13"/>
      <c r="E83" s="1" t="str">
        <f aca="false">IF(A83="","",COUNTIF('Przypadki testowe'!$C$2:$C$300,"*"&amp;A83&amp;"*"))</f>
        <v/>
      </c>
      <c r="F83" s="1" t="str">
        <f aca="false">IF(A83="","",COUNTIFS('Przypadki testowe'!$C$2:$C$300,"*"&amp;A83&amp;"*",'Przypadki testowe'!$K$2:$K$300,"Zaliczony"))</f>
        <v/>
      </c>
      <c r="G83" s="1" t="str">
        <f aca="false">IF(A83="","",COUNTIFS('Przypadki testowe'!$C$2:$C$300,"*"&amp;A83&amp;"*",'Przypadki testowe'!$K$2:$K$300,"Niezaliczony"))</f>
        <v/>
      </c>
      <c r="H83" s="1" t="str">
        <f aca="false">IF(A83="","",IF(E83&gt;0,"Pokryte","BRAK"))</f>
        <v/>
      </c>
    </row>
    <row r="84" customFormat="false" ht="15" hidden="false" customHeight="true" outlineLevel="0" collapsed="false">
      <c r="C84" s="13"/>
      <c r="E84" s="1" t="str">
        <f aca="false">IF(A84="","",COUNTIF('Przypadki testowe'!$C$2:$C$300,"*"&amp;A84&amp;"*"))</f>
        <v/>
      </c>
      <c r="F84" s="1" t="str">
        <f aca="false">IF(A84="","",COUNTIFS('Przypadki testowe'!$C$2:$C$300,"*"&amp;A84&amp;"*",'Przypadki testowe'!$K$2:$K$300,"Zaliczony"))</f>
        <v/>
      </c>
      <c r="G84" s="1" t="str">
        <f aca="false">IF(A84="","",COUNTIFS('Przypadki testowe'!$C$2:$C$300,"*"&amp;A84&amp;"*",'Przypadki testowe'!$K$2:$K$300,"Niezaliczony"))</f>
        <v/>
      </c>
      <c r="H84" s="1" t="str">
        <f aca="false">IF(A84="","",IF(E84&gt;0,"Pokryte","BRAK"))</f>
        <v/>
      </c>
    </row>
    <row r="85" customFormat="false" ht="15" hidden="false" customHeight="true" outlineLevel="0" collapsed="false">
      <c r="C85" s="13"/>
      <c r="E85" s="1" t="str">
        <f aca="false">IF(A85="","",COUNTIF('Przypadki testowe'!$C$2:$C$300,"*"&amp;A85&amp;"*"))</f>
        <v/>
      </c>
      <c r="F85" s="1" t="str">
        <f aca="false">IF(A85="","",COUNTIFS('Przypadki testowe'!$C$2:$C$300,"*"&amp;A85&amp;"*",'Przypadki testowe'!$K$2:$K$300,"Zaliczony"))</f>
        <v/>
      </c>
      <c r="G85" s="1" t="str">
        <f aca="false">IF(A85="","",COUNTIFS('Przypadki testowe'!$C$2:$C$300,"*"&amp;A85&amp;"*",'Przypadki testowe'!$K$2:$K$300,"Niezaliczony"))</f>
        <v/>
      </c>
      <c r="H85" s="1" t="str">
        <f aca="false">IF(A85="","",IF(E85&gt;0,"Pokryte","BRAK"))</f>
        <v/>
      </c>
    </row>
    <row r="86" customFormat="false" ht="15" hidden="false" customHeight="true" outlineLevel="0" collapsed="false">
      <c r="C86" s="13"/>
      <c r="E86" s="1" t="str">
        <f aca="false">IF(A86="","",COUNTIF('Przypadki testowe'!$C$2:$C$300,"*"&amp;A86&amp;"*"))</f>
        <v/>
      </c>
      <c r="F86" s="1" t="str">
        <f aca="false">IF(A86="","",COUNTIFS('Przypadki testowe'!$C$2:$C$300,"*"&amp;A86&amp;"*",'Przypadki testowe'!$K$2:$K$300,"Zaliczony"))</f>
        <v/>
      </c>
      <c r="G86" s="1" t="str">
        <f aca="false">IF(A86="","",COUNTIFS('Przypadki testowe'!$C$2:$C$300,"*"&amp;A86&amp;"*",'Przypadki testowe'!$K$2:$K$300,"Niezaliczony"))</f>
        <v/>
      </c>
      <c r="H86" s="1" t="str">
        <f aca="false">IF(A86="","",IF(E86&gt;0,"Pokryte","BRAK"))</f>
        <v/>
      </c>
    </row>
    <row r="87" customFormat="false" ht="15" hidden="false" customHeight="true" outlineLevel="0" collapsed="false">
      <c r="C87" s="13"/>
      <c r="E87" s="1" t="str">
        <f aca="false">IF(A87="","",COUNTIF('Przypadki testowe'!$C$2:$C$300,"*"&amp;A87&amp;"*"))</f>
        <v/>
      </c>
      <c r="F87" s="1" t="str">
        <f aca="false">IF(A87="","",COUNTIFS('Przypadki testowe'!$C$2:$C$300,"*"&amp;A87&amp;"*",'Przypadki testowe'!$K$2:$K$300,"Zaliczony"))</f>
        <v/>
      </c>
      <c r="G87" s="1" t="str">
        <f aca="false">IF(A87="","",COUNTIFS('Przypadki testowe'!$C$2:$C$300,"*"&amp;A87&amp;"*",'Przypadki testowe'!$K$2:$K$300,"Niezaliczony"))</f>
        <v/>
      </c>
      <c r="H87" s="1" t="str">
        <f aca="false">IF(A87="","",IF(E87&gt;0,"Pokryte","BRAK"))</f>
        <v/>
      </c>
    </row>
    <row r="88" customFormat="false" ht="15" hidden="false" customHeight="true" outlineLevel="0" collapsed="false">
      <c r="C88" s="13"/>
      <c r="E88" s="1" t="str">
        <f aca="false">IF(A88="","",COUNTIF('Przypadki testowe'!$C$2:$C$300,"*"&amp;A88&amp;"*"))</f>
        <v/>
      </c>
      <c r="F88" s="1" t="str">
        <f aca="false">IF(A88="","",COUNTIFS('Przypadki testowe'!$C$2:$C$300,"*"&amp;A88&amp;"*",'Przypadki testowe'!$K$2:$K$300,"Zaliczony"))</f>
        <v/>
      </c>
      <c r="G88" s="1" t="str">
        <f aca="false">IF(A88="","",COUNTIFS('Przypadki testowe'!$C$2:$C$300,"*"&amp;A88&amp;"*",'Przypadki testowe'!$K$2:$K$300,"Niezaliczony"))</f>
        <v/>
      </c>
      <c r="H88" s="1" t="str">
        <f aca="false">IF(A88="","",IF(E88&gt;0,"Pokryte","BRAK"))</f>
        <v/>
      </c>
    </row>
    <row r="89" customFormat="false" ht="15" hidden="false" customHeight="true" outlineLevel="0" collapsed="false">
      <c r="C89" s="13"/>
      <c r="E89" s="1" t="str">
        <f aca="false">IF(A89="","",COUNTIF('Przypadki testowe'!$C$2:$C$300,"*"&amp;A89&amp;"*"))</f>
        <v/>
      </c>
      <c r="F89" s="1" t="str">
        <f aca="false">IF(A89="","",COUNTIFS('Przypadki testowe'!$C$2:$C$300,"*"&amp;A89&amp;"*",'Przypadki testowe'!$K$2:$K$300,"Zaliczony"))</f>
        <v/>
      </c>
      <c r="G89" s="1" t="str">
        <f aca="false">IF(A89="","",COUNTIFS('Przypadki testowe'!$C$2:$C$300,"*"&amp;A89&amp;"*",'Przypadki testowe'!$K$2:$K$300,"Niezaliczony"))</f>
        <v/>
      </c>
      <c r="H89" s="1" t="str">
        <f aca="false">IF(A89="","",IF(E89&gt;0,"Pokryte","BRAK"))</f>
        <v/>
      </c>
    </row>
    <row r="90" customFormat="false" ht="15" hidden="false" customHeight="true" outlineLevel="0" collapsed="false">
      <c r="C90" s="13"/>
      <c r="E90" s="1" t="str">
        <f aca="false">IF(A90="","",COUNTIF('Przypadki testowe'!$C$2:$C$300,"*"&amp;A90&amp;"*"))</f>
        <v/>
      </c>
      <c r="F90" s="1" t="str">
        <f aca="false">IF(A90="","",COUNTIFS('Przypadki testowe'!$C$2:$C$300,"*"&amp;A90&amp;"*",'Przypadki testowe'!$K$2:$K$300,"Zaliczony"))</f>
        <v/>
      </c>
      <c r="G90" s="1" t="str">
        <f aca="false">IF(A90="","",COUNTIFS('Przypadki testowe'!$C$2:$C$300,"*"&amp;A90&amp;"*",'Przypadki testowe'!$K$2:$K$300,"Niezaliczony"))</f>
        <v/>
      </c>
      <c r="H90" s="1" t="str">
        <f aca="false">IF(A90="","",IF(E90&gt;0,"Pokryte","BRAK"))</f>
        <v/>
      </c>
    </row>
    <row r="91" customFormat="false" ht="15" hidden="false" customHeight="true" outlineLevel="0" collapsed="false">
      <c r="C91" s="13"/>
      <c r="E91" s="1" t="str">
        <f aca="false">IF(A91="","",COUNTIF('Przypadki testowe'!$C$2:$C$300,"*"&amp;A91&amp;"*"))</f>
        <v/>
      </c>
      <c r="F91" s="1" t="str">
        <f aca="false">IF(A91="","",COUNTIFS('Przypadki testowe'!$C$2:$C$300,"*"&amp;A91&amp;"*",'Przypadki testowe'!$K$2:$K$300,"Zaliczony"))</f>
        <v/>
      </c>
      <c r="G91" s="1" t="str">
        <f aca="false">IF(A91="","",COUNTIFS('Przypadki testowe'!$C$2:$C$300,"*"&amp;A91&amp;"*",'Przypadki testowe'!$K$2:$K$300,"Niezaliczony"))</f>
        <v/>
      </c>
      <c r="H91" s="1" t="str">
        <f aca="false">IF(A91="","",IF(E91&gt;0,"Pokryte","BRAK"))</f>
        <v/>
      </c>
    </row>
    <row r="92" customFormat="false" ht="15" hidden="false" customHeight="true" outlineLevel="0" collapsed="false">
      <c r="C92" s="13"/>
      <c r="E92" s="1" t="str">
        <f aca="false">IF(A92="","",COUNTIF('Przypadki testowe'!$C$2:$C$300,"*"&amp;A92&amp;"*"))</f>
        <v/>
      </c>
      <c r="F92" s="1" t="str">
        <f aca="false">IF(A92="","",COUNTIFS('Przypadki testowe'!$C$2:$C$300,"*"&amp;A92&amp;"*",'Przypadki testowe'!$K$2:$K$300,"Zaliczony"))</f>
        <v/>
      </c>
      <c r="G92" s="1" t="str">
        <f aca="false">IF(A92="","",COUNTIFS('Przypadki testowe'!$C$2:$C$300,"*"&amp;A92&amp;"*",'Przypadki testowe'!$K$2:$K$300,"Niezaliczony"))</f>
        <v/>
      </c>
      <c r="H92" s="1" t="str">
        <f aca="false">IF(A92="","",IF(E92&gt;0,"Pokryte","BRAK"))</f>
        <v/>
      </c>
    </row>
    <row r="93" customFormat="false" ht="15" hidden="false" customHeight="true" outlineLevel="0" collapsed="false">
      <c r="C93" s="13"/>
      <c r="E93" s="1" t="str">
        <f aca="false">IF(A93="","",COUNTIF('Przypadki testowe'!$C$2:$C$300,"*"&amp;A93&amp;"*"))</f>
        <v/>
      </c>
      <c r="F93" s="1" t="str">
        <f aca="false">IF(A93="","",COUNTIFS('Przypadki testowe'!$C$2:$C$300,"*"&amp;A93&amp;"*",'Przypadki testowe'!$K$2:$K$300,"Zaliczony"))</f>
        <v/>
      </c>
      <c r="G93" s="1" t="str">
        <f aca="false">IF(A93="","",COUNTIFS('Przypadki testowe'!$C$2:$C$300,"*"&amp;A93&amp;"*",'Przypadki testowe'!$K$2:$K$300,"Niezaliczony"))</f>
        <v/>
      </c>
      <c r="H93" s="1" t="str">
        <f aca="false">IF(A93="","",IF(E93&gt;0,"Pokryte","BRAK"))</f>
        <v/>
      </c>
    </row>
    <row r="94" customFormat="false" ht="15" hidden="false" customHeight="true" outlineLevel="0" collapsed="false">
      <c r="C94" s="13"/>
      <c r="E94" s="1" t="str">
        <f aca="false">IF(A94="","",COUNTIF('Przypadki testowe'!$C$2:$C$300,"*"&amp;A94&amp;"*"))</f>
        <v/>
      </c>
      <c r="F94" s="1" t="str">
        <f aca="false">IF(A94="","",COUNTIFS('Przypadki testowe'!$C$2:$C$300,"*"&amp;A94&amp;"*",'Przypadki testowe'!$K$2:$K$300,"Zaliczony"))</f>
        <v/>
      </c>
      <c r="G94" s="1" t="str">
        <f aca="false">IF(A94="","",COUNTIFS('Przypadki testowe'!$C$2:$C$300,"*"&amp;A94&amp;"*",'Przypadki testowe'!$K$2:$K$300,"Niezaliczony"))</f>
        <v/>
      </c>
      <c r="H94" s="1" t="str">
        <f aca="false">IF(A94="","",IF(E94&gt;0,"Pokryte","BRAK"))</f>
        <v/>
      </c>
    </row>
    <row r="95" customFormat="false" ht="15" hidden="false" customHeight="true" outlineLevel="0" collapsed="false">
      <c r="C95" s="13"/>
      <c r="E95" s="1" t="str">
        <f aca="false">IF(A95="","",COUNTIF('Przypadki testowe'!$C$2:$C$300,"*"&amp;A95&amp;"*"))</f>
        <v/>
      </c>
      <c r="F95" s="1" t="str">
        <f aca="false">IF(A95="","",COUNTIFS('Przypadki testowe'!$C$2:$C$300,"*"&amp;A95&amp;"*",'Przypadki testowe'!$K$2:$K$300,"Zaliczony"))</f>
        <v/>
      </c>
      <c r="G95" s="1" t="str">
        <f aca="false">IF(A95="","",COUNTIFS('Przypadki testowe'!$C$2:$C$300,"*"&amp;A95&amp;"*",'Przypadki testowe'!$K$2:$K$300,"Niezaliczony"))</f>
        <v/>
      </c>
      <c r="H95" s="1" t="str">
        <f aca="false">IF(A95="","",IF(E95&gt;0,"Pokryte","BRAK"))</f>
        <v/>
      </c>
    </row>
    <row r="96" customFormat="false" ht="15" hidden="false" customHeight="true" outlineLevel="0" collapsed="false">
      <c r="C96" s="13"/>
      <c r="E96" s="1" t="str">
        <f aca="false">IF(A96="","",COUNTIF('Przypadki testowe'!$C$2:$C$300,"*"&amp;A96&amp;"*"))</f>
        <v/>
      </c>
      <c r="F96" s="1" t="str">
        <f aca="false">IF(A96="","",COUNTIFS('Przypadki testowe'!$C$2:$C$300,"*"&amp;A96&amp;"*",'Przypadki testowe'!$K$2:$K$300,"Zaliczony"))</f>
        <v/>
      </c>
      <c r="G96" s="1" t="str">
        <f aca="false">IF(A96="","",COUNTIFS('Przypadki testowe'!$C$2:$C$300,"*"&amp;A96&amp;"*",'Przypadki testowe'!$K$2:$K$300,"Niezaliczony"))</f>
        <v/>
      </c>
      <c r="H96" s="1" t="str">
        <f aca="false">IF(A96="","",IF(E96&gt;0,"Pokryte","BRAK"))</f>
        <v/>
      </c>
    </row>
    <row r="97" customFormat="false" ht="15" hidden="false" customHeight="true" outlineLevel="0" collapsed="false">
      <c r="C97" s="13"/>
      <c r="E97" s="1" t="str">
        <f aca="false">IF(A97="","",COUNTIF('Przypadki testowe'!$C$2:$C$300,"*"&amp;A97&amp;"*"))</f>
        <v/>
      </c>
      <c r="F97" s="1" t="str">
        <f aca="false">IF(A97="","",COUNTIFS('Przypadki testowe'!$C$2:$C$300,"*"&amp;A97&amp;"*",'Przypadki testowe'!$K$2:$K$300,"Zaliczony"))</f>
        <v/>
      </c>
      <c r="G97" s="1" t="str">
        <f aca="false">IF(A97="","",COUNTIFS('Przypadki testowe'!$C$2:$C$300,"*"&amp;A97&amp;"*",'Przypadki testowe'!$K$2:$K$300,"Niezaliczony"))</f>
        <v/>
      </c>
      <c r="H97" s="1" t="str">
        <f aca="false">IF(A97="","",IF(E97&gt;0,"Pokryte","BRAK"))</f>
        <v/>
      </c>
    </row>
    <row r="98" customFormat="false" ht="15" hidden="false" customHeight="true" outlineLevel="0" collapsed="false">
      <c r="C98" s="13"/>
      <c r="E98" s="1" t="str">
        <f aca="false">IF(A98="","",COUNTIF('Przypadki testowe'!$C$2:$C$300,"*"&amp;A98&amp;"*"))</f>
        <v/>
      </c>
      <c r="F98" s="1" t="str">
        <f aca="false">IF(A98="","",COUNTIFS('Przypadki testowe'!$C$2:$C$300,"*"&amp;A98&amp;"*",'Przypadki testowe'!$K$2:$K$300,"Zaliczony"))</f>
        <v/>
      </c>
      <c r="G98" s="1" t="str">
        <f aca="false">IF(A98="","",COUNTIFS('Przypadki testowe'!$C$2:$C$300,"*"&amp;A98&amp;"*",'Przypadki testowe'!$K$2:$K$300,"Niezaliczony"))</f>
        <v/>
      </c>
      <c r="H98" s="1" t="str">
        <f aca="false">IF(A98="","",IF(E98&gt;0,"Pokryte","BRAK"))</f>
        <v/>
      </c>
    </row>
    <row r="99" customFormat="false" ht="15" hidden="false" customHeight="true" outlineLevel="0" collapsed="false">
      <c r="C99" s="13"/>
      <c r="E99" s="1" t="str">
        <f aca="false">IF(A99="","",COUNTIF('Przypadki testowe'!$C$2:$C$300,"*"&amp;A99&amp;"*"))</f>
        <v/>
      </c>
      <c r="F99" s="1" t="str">
        <f aca="false">IF(A99="","",COUNTIFS('Przypadki testowe'!$C$2:$C$300,"*"&amp;A99&amp;"*",'Przypadki testowe'!$K$2:$K$300,"Zaliczony"))</f>
        <v/>
      </c>
      <c r="G99" s="1" t="str">
        <f aca="false">IF(A99="","",COUNTIFS('Przypadki testowe'!$C$2:$C$300,"*"&amp;A99&amp;"*",'Przypadki testowe'!$K$2:$K$300,"Niezaliczony"))</f>
        <v/>
      </c>
      <c r="H99" s="1" t="str">
        <f aca="false">IF(A99="","",IF(E99&gt;0,"Pokryte","BRAK"))</f>
        <v/>
      </c>
    </row>
    <row r="100" customFormat="false" ht="15" hidden="false" customHeight="true" outlineLevel="0" collapsed="false">
      <c r="C100" s="13"/>
      <c r="E100" s="1" t="str">
        <f aca="false">IF(A100="","",COUNTIF('Przypadki testowe'!$C$2:$C$300,"*"&amp;A100&amp;"*"))</f>
        <v/>
      </c>
      <c r="F100" s="1" t="str">
        <f aca="false">IF(A100="","",COUNTIFS('Przypadki testowe'!$C$2:$C$300,"*"&amp;A100&amp;"*",'Przypadki testowe'!$K$2:$K$300,"Zaliczony"))</f>
        <v/>
      </c>
      <c r="G100" s="1" t="str">
        <f aca="false">IF(A100="","",COUNTIFS('Przypadki testowe'!$C$2:$C$300,"*"&amp;A100&amp;"*",'Przypadki testowe'!$K$2:$K$300,"Niezaliczony"))</f>
        <v/>
      </c>
      <c r="H100" s="1" t="str">
        <f aca="false">IF(A100="","",IF(E100&gt;0,"Pokryte","BRAK"))</f>
        <v/>
      </c>
    </row>
    <row r="101" customFormat="false" ht="15" hidden="false" customHeight="true" outlineLevel="0" collapsed="false">
      <c r="C101" s="13"/>
      <c r="E101" s="1" t="str">
        <f aca="false">IF(A101="","",COUNTIF('Przypadki testowe'!$C$2:$C$300,"*"&amp;A101&amp;"*"))</f>
        <v/>
      </c>
      <c r="F101" s="1" t="str">
        <f aca="false">IF(A101="","",COUNTIFS('Przypadki testowe'!$C$2:$C$300,"*"&amp;A101&amp;"*",'Przypadki testowe'!$K$2:$K$300,"Zaliczony"))</f>
        <v/>
      </c>
      <c r="G101" s="1" t="str">
        <f aca="false">IF(A101="","",COUNTIFS('Przypadki testowe'!$C$2:$C$300,"*"&amp;A101&amp;"*",'Przypadki testowe'!$K$2:$K$300,"Niezaliczony"))</f>
        <v/>
      </c>
      <c r="H101" s="1" t="str">
        <f aca="false">IF(A101="","",IF(E101&gt;0,"Pokryte","BRAK"))</f>
        <v/>
      </c>
    </row>
    <row r="102" customFormat="false" ht="15" hidden="false" customHeight="true" outlineLevel="0" collapsed="false">
      <c r="C102" s="13"/>
      <c r="E102" s="1" t="str">
        <f aca="false">IF(A102="","",COUNTIF('Przypadki testowe'!$C$2:$C$300,"*"&amp;A102&amp;"*"))</f>
        <v/>
      </c>
      <c r="F102" s="1" t="str">
        <f aca="false">IF(A102="","",COUNTIFS('Przypadki testowe'!$C$2:$C$300,"*"&amp;A102&amp;"*",'Przypadki testowe'!$K$2:$K$300,"Zaliczony"))</f>
        <v/>
      </c>
      <c r="G102" s="1" t="str">
        <f aca="false">IF(A102="","",COUNTIFS('Przypadki testowe'!$C$2:$C$300,"*"&amp;A102&amp;"*",'Przypadki testowe'!$K$2:$K$300,"Niezaliczony"))</f>
        <v/>
      </c>
      <c r="H102" s="1" t="str">
        <f aca="false">IF(A102="","",IF(E102&gt;0,"Pokryte","BRAK"))</f>
        <v/>
      </c>
    </row>
    <row r="103" customFormat="false" ht="15" hidden="false" customHeight="true" outlineLevel="0" collapsed="false">
      <c r="C103" s="13"/>
      <c r="E103" s="1" t="str">
        <f aca="false">IF(A103="","",COUNTIF('Przypadki testowe'!$C$2:$C$300,"*"&amp;A103&amp;"*"))</f>
        <v/>
      </c>
      <c r="F103" s="1" t="str">
        <f aca="false">IF(A103="","",COUNTIFS('Przypadki testowe'!$C$2:$C$300,"*"&amp;A103&amp;"*",'Przypadki testowe'!$K$2:$K$300,"Zaliczony"))</f>
        <v/>
      </c>
      <c r="G103" s="1" t="str">
        <f aca="false">IF(A103="","",COUNTIFS('Przypadki testowe'!$C$2:$C$300,"*"&amp;A103&amp;"*",'Przypadki testowe'!$K$2:$K$300,"Niezaliczony"))</f>
        <v/>
      </c>
      <c r="H103" s="1" t="str">
        <f aca="false">IF(A103="","",IF(E103&gt;0,"Pokryte","BRAK"))</f>
        <v/>
      </c>
    </row>
    <row r="104" customFormat="false" ht="15" hidden="false" customHeight="true" outlineLevel="0" collapsed="false">
      <c r="C104" s="13"/>
      <c r="E104" s="1" t="str">
        <f aca="false">IF(A104="","",COUNTIF('Przypadki testowe'!$C$2:$C$300,"*"&amp;A104&amp;"*"))</f>
        <v/>
      </c>
      <c r="F104" s="1" t="str">
        <f aca="false">IF(A104="","",COUNTIFS('Przypadki testowe'!$C$2:$C$300,"*"&amp;A104&amp;"*",'Przypadki testowe'!$K$2:$K$300,"Zaliczony"))</f>
        <v/>
      </c>
      <c r="G104" s="1" t="str">
        <f aca="false">IF(A104="","",COUNTIFS('Przypadki testowe'!$C$2:$C$300,"*"&amp;A104&amp;"*",'Przypadki testowe'!$K$2:$K$300,"Niezaliczony"))</f>
        <v/>
      </c>
      <c r="H104" s="1" t="str">
        <f aca="false">IF(A104="","",IF(E104&gt;0,"Pokryte","BRAK"))</f>
        <v/>
      </c>
    </row>
    <row r="105" customFormat="false" ht="15" hidden="false" customHeight="true" outlineLevel="0" collapsed="false">
      <c r="C105" s="13"/>
      <c r="E105" s="1" t="str">
        <f aca="false">IF(A105="","",COUNTIF('Przypadki testowe'!$C$2:$C$300,"*"&amp;A105&amp;"*"))</f>
        <v/>
      </c>
      <c r="F105" s="1" t="str">
        <f aca="false">IF(A105="","",COUNTIFS('Przypadki testowe'!$C$2:$C$300,"*"&amp;A105&amp;"*",'Przypadki testowe'!$K$2:$K$300,"Zaliczony"))</f>
        <v/>
      </c>
      <c r="G105" s="1" t="str">
        <f aca="false">IF(A105="","",COUNTIFS('Przypadki testowe'!$C$2:$C$300,"*"&amp;A105&amp;"*",'Przypadki testowe'!$K$2:$K$300,"Niezaliczony"))</f>
        <v/>
      </c>
      <c r="H105" s="1" t="str">
        <f aca="false">IF(A105="","",IF(E105&gt;0,"Pokryte","BRAK"))</f>
        <v/>
      </c>
    </row>
    <row r="106" customFormat="false" ht="15" hidden="false" customHeight="true" outlineLevel="0" collapsed="false">
      <c r="C106" s="13"/>
      <c r="E106" s="1" t="str">
        <f aca="false">IF(A106="","",COUNTIF('Przypadki testowe'!$C$2:$C$300,"*"&amp;A106&amp;"*"))</f>
        <v/>
      </c>
      <c r="F106" s="1" t="str">
        <f aca="false">IF(A106="","",COUNTIFS('Przypadki testowe'!$C$2:$C$300,"*"&amp;A106&amp;"*",'Przypadki testowe'!$K$2:$K$300,"Zaliczony"))</f>
        <v/>
      </c>
      <c r="G106" s="1" t="str">
        <f aca="false">IF(A106="","",COUNTIFS('Przypadki testowe'!$C$2:$C$300,"*"&amp;A106&amp;"*",'Przypadki testowe'!$K$2:$K$300,"Niezaliczony"))</f>
        <v/>
      </c>
      <c r="H106" s="1" t="str">
        <f aca="false">IF(A106="","",IF(E106&gt;0,"Pokryte","BRAK"))</f>
        <v/>
      </c>
    </row>
    <row r="107" customFormat="false" ht="15" hidden="false" customHeight="true" outlineLevel="0" collapsed="false">
      <c r="C107" s="13"/>
      <c r="E107" s="1" t="str">
        <f aca="false">IF(A107="","",COUNTIF('Przypadki testowe'!$C$2:$C$300,"*"&amp;A107&amp;"*"))</f>
        <v/>
      </c>
      <c r="F107" s="1" t="str">
        <f aca="false">IF(A107="","",COUNTIFS('Przypadki testowe'!$C$2:$C$300,"*"&amp;A107&amp;"*",'Przypadki testowe'!$K$2:$K$300,"Zaliczony"))</f>
        <v/>
      </c>
      <c r="G107" s="1" t="str">
        <f aca="false">IF(A107="","",COUNTIFS('Przypadki testowe'!$C$2:$C$300,"*"&amp;A107&amp;"*",'Przypadki testowe'!$K$2:$K$300,"Niezaliczony"))</f>
        <v/>
      </c>
      <c r="H107" s="1" t="str">
        <f aca="false">IF(A107="","",IF(E107&gt;0,"Pokryte","BRAK"))</f>
        <v/>
      </c>
    </row>
    <row r="108" customFormat="false" ht="15" hidden="false" customHeight="true" outlineLevel="0" collapsed="false">
      <c r="C108" s="13"/>
      <c r="E108" s="1" t="str">
        <f aca="false">IF(A108="","",COUNTIF('Przypadki testowe'!$C$2:$C$300,"*"&amp;A108&amp;"*"))</f>
        <v/>
      </c>
      <c r="F108" s="1" t="str">
        <f aca="false">IF(A108="","",COUNTIFS('Przypadki testowe'!$C$2:$C$300,"*"&amp;A108&amp;"*",'Przypadki testowe'!$K$2:$K$300,"Zaliczony"))</f>
        <v/>
      </c>
      <c r="G108" s="1" t="str">
        <f aca="false">IF(A108="","",COUNTIFS('Przypadki testowe'!$C$2:$C$300,"*"&amp;A108&amp;"*",'Przypadki testowe'!$K$2:$K$300,"Niezaliczony"))</f>
        <v/>
      </c>
      <c r="H108" s="1" t="str">
        <f aca="false">IF(A108="","",IF(E108&gt;0,"Pokryte","BRAK"))</f>
        <v/>
      </c>
    </row>
    <row r="109" customFormat="false" ht="15" hidden="false" customHeight="true" outlineLevel="0" collapsed="false">
      <c r="C109" s="13"/>
      <c r="E109" s="1" t="str">
        <f aca="false">IF(A109="","",COUNTIF('Przypadki testowe'!$C$2:$C$300,"*"&amp;A109&amp;"*"))</f>
        <v/>
      </c>
      <c r="F109" s="1" t="str">
        <f aca="false">IF(A109="","",COUNTIFS('Przypadki testowe'!$C$2:$C$300,"*"&amp;A109&amp;"*",'Przypadki testowe'!$K$2:$K$300,"Zaliczony"))</f>
        <v/>
      </c>
      <c r="G109" s="1" t="str">
        <f aca="false">IF(A109="","",COUNTIFS('Przypadki testowe'!$C$2:$C$300,"*"&amp;A109&amp;"*",'Przypadki testowe'!$K$2:$K$300,"Niezaliczony"))</f>
        <v/>
      </c>
      <c r="H109" s="1" t="str">
        <f aca="false">IF(A109="","",IF(E109&gt;0,"Pokryte","BRAK"))</f>
        <v/>
      </c>
    </row>
    <row r="110" customFormat="false" ht="15" hidden="false" customHeight="true" outlineLevel="0" collapsed="false">
      <c r="C110" s="13"/>
      <c r="E110" s="1" t="str">
        <f aca="false">IF(A110="","",COUNTIF('Przypadki testowe'!$C$2:$C$300,"*"&amp;A110&amp;"*"))</f>
        <v/>
      </c>
      <c r="F110" s="1" t="str">
        <f aca="false">IF(A110="","",COUNTIFS('Przypadki testowe'!$C$2:$C$300,"*"&amp;A110&amp;"*",'Przypadki testowe'!$K$2:$K$300,"Zaliczony"))</f>
        <v/>
      </c>
      <c r="G110" s="1" t="str">
        <f aca="false">IF(A110="","",COUNTIFS('Przypadki testowe'!$C$2:$C$300,"*"&amp;A110&amp;"*",'Przypadki testowe'!$K$2:$K$300,"Niezaliczony"))</f>
        <v/>
      </c>
      <c r="H110" s="1" t="str">
        <f aca="false">IF(A110="","",IF(E110&gt;0,"Pokryte","BRAK"))</f>
        <v/>
      </c>
    </row>
    <row r="111" customFormat="false" ht="15" hidden="false" customHeight="true" outlineLevel="0" collapsed="false">
      <c r="C111" s="13"/>
      <c r="E111" s="1" t="str">
        <f aca="false">IF(A111="","",COUNTIF('Przypadki testowe'!$C$2:$C$300,"*"&amp;A111&amp;"*"))</f>
        <v/>
      </c>
      <c r="F111" s="1" t="str">
        <f aca="false">IF(A111="","",COUNTIFS('Przypadki testowe'!$C$2:$C$300,"*"&amp;A111&amp;"*",'Przypadki testowe'!$K$2:$K$300,"Zaliczony"))</f>
        <v/>
      </c>
      <c r="G111" s="1" t="str">
        <f aca="false">IF(A111="","",COUNTIFS('Przypadki testowe'!$C$2:$C$300,"*"&amp;A111&amp;"*",'Przypadki testowe'!$K$2:$K$300,"Niezaliczony"))</f>
        <v/>
      </c>
      <c r="H111" s="1" t="str">
        <f aca="false">IF(A111="","",IF(E111&gt;0,"Pokryte","BRAK"))</f>
        <v/>
      </c>
    </row>
    <row r="112" customFormat="false" ht="15" hidden="false" customHeight="true" outlineLevel="0" collapsed="false">
      <c r="C112" s="13"/>
      <c r="E112" s="1" t="str">
        <f aca="false">IF(A112="","",COUNTIF('Przypadki testowe'!$C$2:$C$300,"*"&amp;A112&amp;"*"))</f>
        <v/>
      </c>
      <c r="F112" s="1" t="str">
        <f aca="false">IF(A112="","",COUNTIFS('Przypadki testowe'!$C$2:$C$300,"*"&amp;A112&amp;"*",'Przypadki testowe'!$K$2:$K$300,"Zaliczony"))</f>
        <v/>
      </c>
      <c r="G112" s="1" t="str">
        <f aca="false">IF(A112="","",COUNTIFS('Przypadki testowe'!$C$2:$C$300,"*"&amp;A112&amp;"*",'Przypadki testowe'!$K$2:$K$300,"Niezaliczony"))</f>
        <v/>
      </c>
      <c r="H112" s="1" t="str">
        <f aca="false">IF(A112="","",IF(E112&gt;0,"Pokryte","BRAK"))</f>
        <v/>
      </c>
    </row>
    <row r="113" customFormat="false" ht="15" hidden="false" customHeight="true" outlineLevel="0" collapsed="false">
      <c r="C113" s="13"/>
      <c r="E113" s="1" t="str">
        <f aca="false">IF(A113="","",COUNTIF('Przypadki testowe'!$C$2:$C$300,"*"&amp;A113&amp;"*"))</f>
        <v/>
      </c>
      <c r="F113" s="1" t="str">
        <f aca="false">IF(A113="","",COUNTIFS('Przypadki testowe'!$C$2:$C$300,"*"&amp;A113&amp;"*",'Przypadki testowe'!$K$2:$K$300,"Zaliczony"))</f>
        <v/>
      </c>
      <c r="G113" s="1" t="str">
        <f aca="false">IF(A113="","",COUNTIFS('Przypadki testowe'!$C$2:$C$300,"*"&amp;A113&amp;"*",'Przypadki testowe'!$K$2:$K$300,"Niezaliczony"))</f>
        <v/>
      </c>
      <c r="H113" s="1" t="str">
        <f aca="false">IF(A113="","",IF(E113&gt;0,"Pokryte","BRAK"))</f>
        <v/>
      </c>
    </row>
    <row r="114" customFormat="false" ht="15" hidden="false" customHeight="true" outlineLevel="0" collapsed="false">
      <c r="C114" s="13"/>
      <c r="E114" s="1" t="str">
        <f aca="false">IF(A114="","",COUNTIF('Przypadki testowe'!$C$2:$C$300,"*"&amp;A114&amp;"*"))</f>
        <v/>
      </c>
      <c r="F114" s="1" t="str">
        <f aca="false">IF(A114="","",COUNTIFS('Przypadki testowe'!$C$2:$C$300,"*"&amp;A114&amp;"*",'Przypadki testowe'!$K$2:$K$300,"Zaliczony"))</f>
        <v/>
      </c>
      <c r="G114" s="1" t="str">
        <f aca="false">IF(A114="","",COUNTIFS('Przypadki testowe'!$C$2:$C$300,"*"&amp;A114&amp;"*",'Przypadki testowe'!$K$2:$K$300,"Niezaliczony"))</f>
        <v/>
      </c>
      <c r="H114" s="1" t="str">
        <f aca="false">IF(A114="","",IF(E114&gt;0,"Pokryte","BRAK"))</f>
        <v/>
      </c>
    </row>
    <row r="115" customFormat="false" ht="15" hidden="false" customHeight="true" outlineLevel="0" collapsed="false">
      <c r="C115" s="13"/>
      <c r="E115" s="1" t="str">
        <f aca="false">IF(A115="","",COUNTIF('Przypadki testowe'!$C$2:$C$300,"*"&amp;A115&amp;"*"))</f>
        <v/>
      </c>
      <c r="F115" s="1" t="str">
        <f aca="false">IF(A115="","",COUNTIFS('Przypadki testowe'!$C$2:$C$300,"*"&amp;A115&amp;"*",'Przypadki testowe'!$K$2:$K$300,"Zaliczony"))</f>
        <v/>
      </c>
      <c r="G115" s="1" t="str">
        <f aca="false">IF(A115="","",COUNTIFS('Przypadki testowe'!$C$2:$C$300,"*"&amp;A115&amp;"*",'Przypadki testowe'!$K$2:$K$300,"Niezaliczony"))</f>
        <v/>
      </c>
      <c r="H115" s="1" t="str">
        <f aca="false">IF(A115="","",IF(E115&gt;0,"Pokryte","BRAK"))</f>
        <v/>
      </c>
    </row>
    <row r="116" customFormat="false" ht="15" hidden="false" customHeight="true" outlineLevel="0" collapsed="false">
      <c r="C116" s="13"/>
      <c r="E116" s="1" t="str">
        <f aca="false">IF(A116="","",COUNTIF('Przypadki testowe'!$C$2:$C$300,"*"&amp;A116&amp;"*"))</f>
        <v/>
      </c>
      <c r="F116" s="1" t="str">
        <f aca="false">IF(A116="","",COUNTIFS('Przypadki testowe'!$C$2:$C$300,"*"&amp;A116&amp;"*",'Przypadki testowe'!$K$2:$K$300,"Zaliczony"))</f>
        <v/>
      </c>
      <c r="G116" s="1" t="str">
        <f aca="false">IF(A116="","",COUNTIFS('Przypadki testowe'!$C$2:$C$300,"*"&amp;A116&amp;"*",'Przypadki testowe'!$K$2:$K$300,"Niezaliczony"))</f>
        <v/>
      </c>
      <c r="H116" s="1" t="str">
        <f aca="false">IF(A116="","",IF(E116&gt;0,"Pokryte","BRAK"))</f>
        <v/>
      </c>
    </row>
    <row r="117" customFormat="false" ht="15" hidden="false" customHeight="true" outlineLevel="0" collapsed="false">
      <c r="C117" s="13"/>
      <c r="E117" s="1" t="str">
        <f aca="false">IF(A117="","",COUNTIF('Przypadki testowe'!$C$2:$C$300,"*"&amp;A117&amp;"*"))</f>
        <v/>
      </c>
      <c r="F117" s="1" t="str">
        <f aca="false">IF(A117="","",COUNTIFS('Przypadki testowe'!$C$2:$C$300,"*"&amp;A117&amp;"*",'Przypadki testowe'!$K$2:$K$300,"Zaliczony"))</f>
        <v/>
      </c>
      <c r="G117" s="1" t="str">
        <f aca="false">IF(A117="","",COUNTIFS('Przypadki testowe'!$C$2:$C$300,"*"&amp;A117&amp;"*",'Przypadki testowe'!$K$2:$K$300,"Niezaliczony"))</f>
        <v/>
      </c>
      <c r="H117" s="1" t="str">
        <f aca="false">IF(A117="","",IF(E117&gt;0,"Pokryte","BRAK"))</f>
        <v/>
      </c>
    </row>
    <row r="118" customFormat="false" ht="15" hidden="false" customHeight="true" outlineLevel="0" collapsed="false">
      <c r="C118" s="13"/>
      <c r="E118" s="1" t="str">
        <f aca="false">IF(A118="","",COUNTIF('Przypadki testowe'!$C$2:$C$300,"*"&amp;A118&amp;"*"))</f>
        <v/>
      </c>
      <c r="F118" s="1" t="str">
        <f aca="false">IF(A118="","",COUNTIFS('Przypadki testowe'!$C$2:$C$300,"*"&amp;A118&amp;"*",'Przypadki testowe'!$K$2:$K$300,"Zaliczony"))</f>
        <v/>
      </c>
      <c r="G118" s="1" t="str">
        <f aca="false">IF(A118="","",COUNTIFS('Przypadki testowe'!$C$2:$C$300,"*"&amp;A118&amp;"*",'Przypadki testowe'!$K$2:$K$300,"Niezaliczony"))</f>
        <v/>
      </c>
      <c r="H118" s="1" t="str">
        <f aca="false">IF(A118="","",IF(E118&gt;0,"Pokryte","BRAK"))</f>
        <v/>
      </c>
    </row>
    <row r="119" customFormat="false" ht="15" hidden="false" customHeight="true" outlineLevel="0" collapsed="false">
      <c r="C119" s="13"/>
      <c r="E119" s="1" t="str">
        <f aca="false">IF(A119="","",COUNTIF('Przypadki testowe'!$C$2:$C$300,"*"&amp;A119&amp;"*"))</f>
        <v/>
      </c>
      <c r="F119" s="1" t="str">
        <f aca="false">IF(A119="","",COUNTIFS('Przypadki testowe'!$C$2:$C$300,"*"&amp;A119&amp;"*",'Przypadki testowe'!$K$2:$K$300,"Zaliczony"))</f>
        <v/>
      </c>
      <c r="G119" s="1" t="str">
        <f aca="false">IF(A119="","",COUNTIFS('Przypadki testowe'!$C$2:$C$300,"*"&amp;A119&amp;"*",'Przypadki testowe'!$K$2:$K$300,"Niezaliczony"))</f>
        <v/>
      </c>
      <c r="H119" s="1" t="str">
        <f aca="false">IF(A119="","",IF(E119&gt;0,"Pokryte","BRAK"))</f>
        <v/>
      </c>
    </row>
    <row r="120" customFormat="false" ht="15" hidden="false" customHeight="true" outlineLevel="0" collapsed="false">
      <c r="C120" s="13"/>
      <c r="E120" s="1" t="str">
        <f aca="false">IF(A120="","",COUNTIF('Przypadki testowe'!$C$2:$C$300,"*"&amp;A120&amp;"*"))</f>
        <v/>
      </c>
      <c r="F120" s="1" t="str">
        <f aca="false">IF(A120="","",COUNTIFS('Przypadki testowe'!$C$2:$C$300,"*"&amp;A120&amp;"*",'Przypadki testowe'!$K$2:$K$300,"Zaliczony"))</f>
        <v/>
      </c>
      <c r="G120" s="1" t="str">
        <f aca="false">IF(A120="","",COUNTIFS('Przypadki testowe'!$C$2:$C$300,"*"&amp;A120&amp;"*",'Przypadki testowe'!$K$2:$K$300,"Niezaliczony"))</f>
        <v/>
      </c>
      <c r="H120" s="1" t="str">
        <f aca="false">IF(A120="","",IF(E120&gt;0,"Pokryte","BRAK"))</f>
        <v/>
      </c>
    </row>
    <row r="121" customFormat="false" ht="15" hidden="false" customHeight="false" outlineLevel="0" collapsed="false">
      <c r="C121" s="13"/>
    </row>
    <row r="122" customFormat="false" ht="15" hidden="false" customHeight="false" outlineLevel="0" collapsed="false">
      <c r="C122" s="13"/>
    </row>
    <row r="123" customFormat="false" ht="15" hidden="false" customHeight="false" outlineLevel="0" collapsed="false">
      <c r="C123" s="13"/>
    </row>
    <row r="124" customFormat="false" ht="15" hidden="false" customHeight="false" outlineLevel="0" collapsed="false">
      <c r="C124" s="13"/>
    </row>
    <row r="125" customFormat="false" ht="15" hidden="false" customHeight="false" outlineLevel="0" collapsed="false">
      <c r="C125" s="13"/>
    </row>
    <row r="126" customFormat="false" ht="15" hidden="false" customHeight="false" outlineLevel="0" collapsed="false">
      <c r="C126" s="13"/>
    </row>
    <row r="127" customFormat="false" ht="15" hidden="false" customHeight="false" outlineLevel="0" collapsed="false">
      <c r="C127" s="13"/>
    </row>
    <row r="128" customFormat="false" ht="15" hidden="false" customHeight="false" outlineLevel="0" collapsed="false">
      <c r="C128" s="13"/>
    </row>
    <row r="129" customFormat="false" ht="15" hidden="false" customHeight="false" outlineLevel="0" collapsed="false">
      <c r="C129" s="13"/>
    </row>
    <row r="130" customFormat="false" ht="15" hidden="false" customHeight="false" outlineLevel="0" collapsed="false">
      <c r="C130" s="13"/>
    </row>
    <row r="131" customFormat="false" ht="15" hidden="false" customHeight="false" outlineLevel="0" collapsed="false">
      <c r="C131" s="13"/>
    </row>
    <row r="132" customFormat="false" ht="15" hidden="false" customHeight="false" outlineLevel="0" collapsed="false">
      <c r="C132" s="13"/>
    </row>
    <row r="133" customFormat="false" ht="15" hidden="false" customHeight="false" outlineLevel="0" collapsed="false">
      <c r="C133" s="13"/>
    </row>
    <row r="134" customFormat="false" ht="15" hidden="false" customHeight="false" outlineLevel="0" collapsed="false">
      <c r="C134" s="13"/>
    </row>
    <row r="135" customFormat="false" ht="15" hidden="false" customHeight="false" outlineLevel="0" collapsed="false">
      <c r="C135" s="13"/>
    </row>
    <row r="136" customFormat="false" ht="15" hidden="false" customHeight="false" outlineLevel="0" collapsed="false">
      <c r="C136" s="13"/>
    </row>
    <row r="137" customFormat="false" ht="15" hidden="false" customHeight="false" outlineLevel="0" collapsed="false">
      <c r="C137" s="13"/>
    </row>
    <row r="138" customFormat="false" ht="15" hidden="false" customHeight="false" outlineLevel="0" collapsed="false">
      <c r="C138" s="13"/>
    </row>
    <row r="139" customFormat="false" ht="15" hidden="false" customHeight="false" outlineLevel="0" collapsed="false">
      <c r="C139" s="13"/>
    </row>
    <row r="140" customFormat="false" ht="15" hidden="false" customHeight="false" outlineLevel="0" collapsed="false">
      <c r="C140" s="13"/>
    </row>
    <row r="141" customFormat="false" ht="15" hidden="false" customHeight="false" outlineLevel="0" collapsed="false">
      <c r="C141" s="13"/>
    </row>
    <row r="142" customFormat="false" ht="15" hidden="false" customHeight="false" outlineLevel="0" collapsed="false">
      <c r="C142" s="13"/>
    </row>
    <row r="143" customFormat="false" ht="15" hidden="false" customHeight="false" outlineLevel="0" collapsed="false">
      <c r="C143" s="13"/>
    </row>
    <row r="144" customFormat="false" ht="15" hidden="false" customHeight="false" outlineLevel="0" collapsed="false">
      <c r="C144" s="13"/>
    </row>
    <row r="145" customFormat="false" ht="15" hidden="false" customHeight="false" outlineLevel="0" collapsed="false">
      <c r="C145" s="13"/>
    </row>
    <row r="146" customFormat="false" ht="15" hidden="false" customHeight="false" outlineLevel="0" collapsed="false">
      <c r="C146" s="13"/>
    </row>
    <row r="147" customFormat="false" ht="15" hidden="false" customHeight="false" outlineLevel="0" collapsed="false">
      <c r="C147" s="13"/>
    </row>
    <row r="148" customFormat="false" ht="15" hidden="false" customHeight="false" outlineLevel="0" collapsed="false">
      <c r="C148" s="13"/>
    </row>
    <row r="149" customFormat="false" ht="15" hidden="false" customHeight="false" outlineLevel="0" collapsed="false">
      <c r="C149" s="13"/>
    </row>
    <row r="150" customFormat="false" ht="15" hidden="false" customHeight="false" outlineLevel="0" collapsed="false">
      <c r="C150" s="13"/>
    </row>
    <row r="151" customFormat="false" ht="15" hidden="false" customHeight="false" outlineLevel="0" collapsed="false">
      <c r="C151" s="13"/>
    </row>
    <row r="152" customFormat="false" ht="15" hidden="false" customHeight="false" outlineLevel="0" collapsed="false">
      <c r="C152" s="13"/>
    </row>
    <row r="153" customFormat="false" ht="15" hidden="false" customHeight="false" outlineLevel="0" collapsed="false">
      <c r="C153" s="13"/>
    </row>
    <row r="154" customFormat="false" ht="15" hidden="false" customHeight="false" outlineLevel="0" collapsed="false">
      <c r="C154" s="13"/>
    </row>
    <row r="155" customFormat="false" ht="15" hidden="false" customHeight="false" outlineLevel="0" collapsed="false">
      <c r="C155" s="13"/>
    </row>
    <row r="156" customFormat="false" ht="15" hidden="false" customHeight="false" outlineLevel="0" collapsed="false">
      <c r="C156" s="13"/>
    </row>
    <row r="157" customFormat="false" ht="15" hidden="false" customHeight="false" outlineLevel="0" collapsed="false">
      <c r="C157" s="13"/>
    </row>
    <row r="158" customFormat="false" ht="15" hidden="false" customHeight="false" outlineLevel="0" collapsed="false">
      <c r="C158" s="13"/>
    </row>
    <row r="159" customFormat="false" ht="15" hidden="false" customHeight="false" outlineLevel="0" collapsed="false">
      <c r="C159" s="13"/>
    </row>
    <row r="160" customFormat="false" ht="15" hidden="false" customHeight="false" outlineLevel="0" collapsed="false">
      <c r="C160" s="13"/>
    </row>
    <row r="161" customFormat="false" ht="15" hidden="false" customHeight="false" outlineLevel="0" collapsed="false">
      <c r="C161" s="13"/>
    </row>
    <row r="162" customFormat="false" ht="15" hidden="false" customHeight="false" outlineLevel="0" collapsed="false">
      <c r="C162" s="13"/>
    </row>
    <row r="163" customFormat="false" ht="15" hidden="false" customHeight="false" outlineLevel="0" collapsed="false">
      <c r="C163" s="13"/>
    </row>
    <row r="164" customFormat="false" ht="15" hidden="false" customHeight="false" outlineLevel="0" collapsed="false">
      <c r="C164" s="13"/>
    </row>
    <row r="165" customFormat="false" ht="15" hidden="false" customHeight="false" outlineLevel="0" collapsed="false">
      <c r="C165" s="13"/>
    </row>
    <row r="166" customFormat="false" ht="15" hidden="false" customHeight="false" outlineLevel="0" collapsed="false">
      <c r="C166" s="13"/>
    </row>
    <row r="167" customFormat="false" ht="15" hidden="false" customHeight="false" outlineLevel="0" collapsed="false">
      <c r="C167" s="13"/>
    </row>
    <row r="168" customFormat="false" ht="15" hidden="false" customHeight="false" outlineLevel="0" collapsed="false">
      <c r="C168" s="13"/>
    </row>
    <row r="169" customFormat="false" ht="15" hidden="false" customHeight="false" outlineLevel="0" collapsed="false">
      <c r="C169" s="13"/>
    </row>
    <row r="170" customFormat="false" ht="15" hidden="false" customHeight="false" outlineLevel="0" collapsed="false">
      <c r="C170" s="13"/>
    </row>
    <row r="171" customFormat="false" ht="15" hidden="false" customHeight="false" outlineLevel="0" collapsed="false">
      <c r="C171" s="13"/>
    </row>
    <row r="172" customFormat="false" ht="15" hidden="false" customHeight="false" outlineLevel="0" collapsed="false">
      <c r="C172" s="13"/>
    </row>
    <row r="173" customFormat="false" ht="15" hidden="false" customHeight="false" outlineLevel="0" collapsed="false">
      <c r="C173" s="13"/>
    </row>
    <row r="174" customFormat="false" ht="15" hidden="false" customHeight="false" outlineLevel="0" collapsed="false">
      <c r="C174" s="13"/>
    </row>
    <row r="175" customFormat="false" ht="15" hidden="false" customHeight="false" outlineLevel="0" collapsed="false">
      <c r="C175" s="13"/>
    </row>
    <row r="176" customFormat="false" ht="15" hidden="false" customHeight="false" outlineLevel="0" collapsed="false">
      <c r="C176" s="13"/>
    </row>
    <row r="177" customFormat="false" ht="15" hidden="false" customHeight="false" outlineLevel="0" collapsed="false">
      <c r="C177" s="13"/>
    </row>
    <row r="178" customFormat="false" ht="15" hidden="false" customHeight="false" outlineLevel="0" collapsed="false">
      <c r="C178" s="13"/>
    </row>
    <row r="179" customFormat="false" ht="15" hidden="false" customHeight="false" outlineLevel="0" collapsed="false">
      <c r="C179" s="13"/>
    </row>
    <row r="180" customFormat="false" ht="15" hidden="false" customHeight="false" outlineLevel="0" collapsed="false">
      <c r="C180" s="13"/>
    </row>
    <row r="181" customFormat="false" ht="15" hidden="false" customHeight="false" outlineLevel="0" collapsed="false">
      <c r="C181" s="13"/>
    </row>
    <row r="182" customFormat="false" ht="15" hidden="false" customHeight="false" outlineLevel="0" collapsed="false">
      <c r="C182" s="13"/>
    </row>
    <row r="183" customFormat="false" ht="15" hidden="false" customHeight="false" outlineLevel="0" collapsed="false">
      <c r="C183" s="13"/>
    </row>
    <row r="184" customFormat="false" ht="15" hidden="false" customHeight="false" outlineLevel="0" collapsed="false">
      <c r="C184" s="13"/>
    </row>
    <row r="185" customFormat="false" ht="15" hidden="false" customHeight="false" outlineLevel="0" collapsed="false">
      <c r="C185" s="13"/>
    </row>
    <row r="186" customFormat="false" ht="15" hidden="false" customHeight="false" outlineLevel="0" collapsed="false">
      <c r="C186" s="13"/>
    </row>
    <row r="187" customFormat="false" ht="15" hidden="false" customHeight="false" outlineLevel="0" collapsed="false">
      <c r="C187" s="13"/>
    </row>
    <row r="188" customFormat="false" ht="15" hidden="false" customHeight="false" outlineLevel="0" collapsed="false">
      <c r="C188" s="13"/>
    </row>
    <row r="189" customFormat="false" ht="15" hidden="false" customHeight="false" outlineLevel="0" collapsed="false">
      <c r="C189" s="13"/>
    </row>
    <row r="190" customFormat="false" ht="15" hidden="false" customHeight="false" outlineLevel="0" collapsed="false">
      <c r="C190" s="13"/>
    </row>
    <row r="191" customFormat="false" ht="15" hidden="false" customHeight="false" outlineLevel="0" collapsed="false">
      <c r="C191" s="13"/>
    </row>
    <row r="192" customFormat="false" ht="15" hidden="false" customHeight="false" outlineLevel="0" collapsed="false">
      <c r="C192" s="13"/>
    </row>
    <row r="193" customFormat="false" ht="15" hidden="false" customHeight="false" outlineLevel="0" collapsed="false">
      <c r="C193" s="13"/>
    </row>
    <row r="194" customFormat="false" ht="15" hidden="false" customHeight="false" outlineLevel="0" collapsed="false">
      <c r="C194" s="13"/>
    </row>
    <row r="195" customFormat="false" ht="15" hidden="false" customHeight="false" outlineLevel="0" collapsed="false">
      <c r="C195" s="13"/>
    </row>
    <row r="196" customFormat="false" ht="15" hidden="false" customHeight="false" outlineLevel="0" collapsed="false">
      <c r="C196" s="13"/>
    </row>
    <row r="197" customFormat="false" ht="15" hidden="false" customHeight="false" outlineLevel="0" collapsed="false">
      <c r="C197" s="13"/>
    </row>
    <row r="198" customFormat="false" ht="15" hidden="false" customHeight="false" outlineLevel="0" collapsed="false">
      <c r="C198" s="13"/>
    </row>
    <row r="199" customFormat="false" ht="15" hidden="false" customHeight="false" outlineLevel="0" collapsed="false">
      <c r="C199" s="13"/>
    </row>
    <row r="200" customFormat="false" ht="15" hidden="false" customHeight="false" outlineLevel="0" collapsed="false">
      <c r="C200" s="13"/>
    </row>
    <row r="201" customFormat="false" ht="15" hidden="false" customHeight="false" outlineLevel="0" collapsed="false">
      <c r="C201" s="13"/>
    </row>
    <row r="202" customFormat="false" ht="15" hidden="false" customHeight="false" outlineLevel="0" collapsed="false">
      <c r="C202" s="13"/>
    </row>
    <row r="203" customFormat="false" ht="15" hidden="false" customHeight="false" outlineLevel="0" collapsed="false">
      <c r="C203" s="13"/>
    </row>
    <row r="204" customFormat="false" ht="15" hidden="false" customHeight="false" outlineLevel="0" collapsed="false">
      <c r="C204" s="13"/>
    </row>
    <row r="205" customFormat="false" ht="15" hidden="false" customHeight="false" outlineLevel="0" collapsed="false">
      <c r="C205" s="13"/>
    </row>
    <row r="206" customFormat="false" ht="15" hidden="false" customHeight="false" outlineLevel="0" collapsed="false">
      <c r="C206" s="13"/>
    </row>
    <row r="207" customFormat="false" ht="15" hidden="false" customHeight="false" outlineLevel="0" collapsed="false">
      <c r="C207" s="13"/>
    </row>
    <row r="208" customFormat="false" ht="15" hidden="false" customHeight="false" outlineLevel="0" collapsed="false">
      <c r="C208" s="13"/>
    </row>
    <row r="209" customFormat="false" ht="15" hidden="false" customHeight="false" outlineLevel="0" collapsed="false">
      <c r="C209" s="13"/>
    </row>
    <row r="210" customFormat="false" ht="15" hidden="false" customHeight="false" outlineLevel="0" collapsed="false">
      <c r="C210" s="13"/>
    </row>
    <row r="211" customFormat="false" ht="15" hidden="false" customHeight="false" outlineLevel="0" collapsed="false">
      <c r="C211" s="13"/>
    </row>
    <row r="212" customFormat="false" ht="15" hidden="false" customHeight="false" outlineLevel="0" collapsed="false">
      <c r="C212" s="13"/>
    </row>
    <row r="213" customFormat="false" ht="15" hidden="false" customHeight="false" outlineLevel="0" collapsed="false">
      <c r="C213" s="13"/>
    </row>
    <row r="214" customFormat="false" ht="15" hidden="false" customHeight="false" outlineLevel="0" collapsed="false">
      <c r="C214" s="13"/>
    </row>
    <row r="215" customFormat="false" ht="15" hidden="false" customHeight="false" outlineLevel="0" collapsed="false">
      <c r="C215" s="13"/>
    </row>
    <row r="216" customFormat="false" ht="15" hidden="false" customHeight="false" outlineLevel="0" collapsed="false">
      <c r="C216" s="13"/>
    </row>
    <row r="217" customFormat="false" ht="15" hidden="false" customHeight="false" outlineLevel="0" collapsed="false">
      <c r="C217" s="13"/>
    </row>
    <row r="218" customFormat="false" ht="15" hidden="false" customHeight="false" outlineLevel="0" collapsed="false">
      <c r="C218" s="13"/>
    </row>
    <row r="219" customFormat="false" ht="15" hidden="false" customHeight="false" outlineLevel="0" collapsed="false">
      <c r="C219" s="13"/>
    </row>
    <row r="220" customFormat="false" ht="15" hidden="false" customHeight="false" outlineLevel="0" collapsed="false">
      <c r="C220" s="13"/>
    </row>
    <row r="221" customFormat="false" ht="15" hidden="false" customHeight="false" outlineLevel="0" collapsed="false">
      <c r="C221" s="13"/>
    </row>
    <row r="222" customFormat="false" ht="15" hidden="false" customHeight="false" outlineLevel="0" collapsed="false">
      <c r="C222" s="13"/>
    </row>
    <row r="223" customFormat="false" ht="15" hidden="false" customHeight="false" outlineLevel="0" collapsed="false">
      <c r="C223" s="13"/>
    </row>
    <row r="224" customFormat="false" ht="15" hidden="false" customHeight="false" outlineLevel="0" collapsed="false">
      <c r="C224" s="13"/>
    </row>
    <row r="225" customFormat="false" ht="15" hidden="false" customHeight="false" outlineLevel="0" collapsed="false">
      <c r="C225" s="13"/>
    </row>
    <row r="226" customFormat="false" ht="15" hidden="false" customHeight="false" outlineLevel="0" collapsed="false">
      <c r="C226" s="13"/>
    </row>
    <row r="227" customFormat="false" ht="15" hidden="false" customHeight="false" outlineLevel="0" collapsed="false">
      <c r="C227" s="13"/>
    </row>
    <row r="228" customFormat="false" ht="15" hidden="false" customHeight="false" outlineLevel="0" collapsed="false">
      <c r="C228" s="13"/>
    </row>
    <row r="229" customFormat="false" ht="15" hidden="false" customHeight="false" outlineLevel="0" collapsed="false">
      <c r="C229" s="13"/>
    </row>
    <row r="230" customFormat="false" ht="15" hidden="false" customHeight="false" outlineLevel="0" collapsed="false">
      <c r="C230" s="13"/>
    </row>
    <row r="231" customFormat="false" ht="15" hidden="false" customHeight="false" outlineLevel="0" collapsed="false">
      <c r="C231" s="13"/>
    </row>
    <row r="232" customFormat="false" ht="15" hidden="false" customHeight="false" outlineLevel="0" collapsed="false">
      <c r="C232" s="13"/>
    </row>
    <row r="233" customFormat="false" ht="15" hidden="false" customHeight="false" outlineLevel="0" collapsed="false">
      <c r="C233" s="13"/>
    </row>
    <row r="234" customFormat="false" ht="15" hidden="false" customHeight="false" outlineLevel="0" collapsed="false">
      <c r="C234" s="13"/>
    </row>
    <row r="235" customFormat="false" ht="15" hidden="false" customHeight="false" outlineLevel="0" collapsed="false">
      <c r="C235" s="13"/>
    </row>
    <row r="236" customFormat="false" ht="15" hidden="false" customHeight="false" outlineLevel="0" collapsed="false">
      <c r="C236" s="13"/>
    </row>
    <row r="237" customFormat="false" ht="15" hidden="false" customHeight="false" outlineLevel="0" collapsed="false">
      <c r="C237" s="13"/>
    </row>
    <row r="238" customFormat="false" ht="15" hidden="false" customHeight="false" outlineLevel="0" collapsed="false">
      <c r="C238" s="13"/>
    </row>
    <row r="239" customFormat="false" ht="15" hidden="false" customHeight="false" outlineLevel="0" collapsed="false">
      <c r="C239" s="13"/>
    </row>
    <row r="240" customFormat="false" ht="15" hidden="false" customHeight="false" outlineLevel="0" collapsed="false">
      <c r="C240" s="13"/>
    </row>
    <row r="241" customFormat="false" ht="15" hidden="false" customHeight="false" outlineLevel="0" collapsed="false">
      <c r="C241" s="13"/>
    </row>
    <row r="242" customFormat="false" ht="15" hidden="false" customHeight="false" outlineLevel="0" collapsed="false">
      <c r="C242" s="13"/>
    </row>
    <row r="243" customFormat="false" ht="15" hidden="false" customHeight="false" outlineLevel="0" collapsed="false">
      <c r="C243" s="13"/>
    </row>
    <row r="244" customFormat="false" ht="15" hidden="false" customHeight="false" outlineLevel="0" collapsed="false">
      <c r="C244" s="13"/>
    </row>
    <row r="245" customFormat="false" ht="15" hidden="false" customHeight="false" outlineLevel="0" collapsed="false">
      <c r="C245" s="13"/>
    </row>
    <row r="246" customFormat="false" ht="15" hidden="false" customHeight="false" outlineLevel="0" collapsed="false">
      <c r="C246" s="13"/>
    </row>
    <row r="247" customFormat="false" ht="15" hidden="false" customHeight="false" outlineLevel="0" collapsed="false">
      <c r="C247" s="13"/>
    </row>
    <row r="248" customFormat="false" ht="15" hidden="false" customHeight="false" outlineLevel="0" collapsed="false">
      <c r="C248" s="13"/>
    </row>
    <row r="249" customFormat="false" ht="15" hidden="false" customHeight="false" outlineLevel="0" collapsed="false">
      <c r="C249" s="13"/>
    </row>
    <row r="250" customFormat="false" ht="15" hidden="false" customHeight="false" outlineLevel="0" collapsed="false">
      <c r="C250" s="13"/>
    </row>
    <row r="251" customFormat="false" ht="15" hidden="false" customHeight="false" outlineLevel="0" collapsed="false">
      <c r="C251" s="13"/>
    </row>
    <row r="252" customFormat="false" ht="15" hidden="false" customHeight="false" outlineLevel="0" collapsed="false">
      <c r="C252" s="13"/>
    </row>
    <row r="253" customFormat="false" ht="15" hidden="false" customHeight="false" outlineLevel="0" collapsed="false">
      <c r="C253" s="13"/>
    </row>
    <row r="254" customFormat="false" ht="15" hidden="false" customHeight="false" outlineLevel="0" collapsed="false">
      <c r="C254" s="13"/>
    </row>
    <row r="255" customFormat="false" ht="15" hidden="false" customHeight="false" outlineLevel="0" collapsed="false">
      <c r="C255" s="13"/>
    </row>
    <row r="256" customFormat="false" ht="15" hidden="false" customHeight="false" outlineLevel="0" collapsed="false">
      <c r="C256" s="13"/>
    </row>
    <row r="257" customFormat="false" ht="15" hidden="false" customHeight="false" outlineLevel="0" collapsed="false">
      <c r="C257" s="13"/>
    </row>
    <row r="258" customFormat="false" ht="15" hidden="false" customHeight="false" outlineLevel="0" collapsed="false">
      <c r="C258" s="13"/>
    </row>
    <row r="259" customFormat="false" ht="15" hidden="false" customHeight="false" outlineLevel="0" collapsed="false">
      <c r="C259" s="13"/>
    </row>
    <row r="260" customFormat="false" ht="15" hidden="false" customHeight="false" outlineLevel="0" collapsed="false">
      <c r="C260" s="13"/>
    </row>
    <row r="261" customFormat="false" ht="15" hidden="false" customHeight="false" outlineLevel="0" collapsed="false">
      <c r="C261" s="13"/>
    </row>
    <row r="262" customFormat="false" ht="15" hidden="false" customHeight="false" outlineLevel="0" collapsed="false">
      <c r="C262" s="13"/>
    </row>
    <row r="263" customFormat="false" ht="15" hidden="false" customHeight="false" outlineLevel="0" collapsed="false">
      <c r="C263" s="13"/>
    </row>
    <row r="264" customFormat="false" ht="15" hidden="false" customHeight="false" outlineLevel="0" collapsed="false">
      <c r="C264" s="13"/>
    </row>
    <row r="265" customFormat="false" ht="15" hidden="false" customHeight="false" outlineLevel="0" collapsed="false">
      <c r="C265" s="13"/>
    </row>
    <row r="266" customFormat="false" ht="15" hidden="false" customHeight="false" outlineLevel="0" collapsed="false">
      <c r="C266" s="13"/>
    </row>
    <row r="267" customFormat="false" ht="15" hidden="false" customHeight="false" outlineLevel="0" collapsed="false">
      <c r="C267" s="13"/>
    </row>
    <row r="268" customFormat="false" ht="15" hidden="false" customHeight="false" outlineLevel="0" collapsed="false">
      <c r="C268" s="13"/>
    </row>
    <row r="269" customFormat="false" ht="15" hidden="false" customHeight="false" outlineLevel="0" collapsed="false">
      <c r="C269" s="13"/>
    </row>
    <row r="270" customFormat="false" ht="15" hidden="false" customHeight="false" outlineLevel="0" collapsed="false">
      <c r="C270" s="13"/>
    </row>
    <row r="271" customFormat="false" ht="15" hidden="false" customHeight="false" outlineLevel="0" collapsed="false">
      <c r="C271" s="13"/>
    </row>
    <row r="272" customFormat="false" ht="15" hidden="false" customHeight="false" outlineLevel="0" collapsed="false">
      <c r="C272" s="13"/>
    </row>
    <row r="273" customFormat="false" ht="15" hidden="false" customHeight="false" outlineLevel="0" collapsed="false">
      <c r="C273" s="13"/>
    </row>
    <row r="274" customFormat="false" ht="15" hidden="false" customHeight="false" outlineLevel="0" collapsed="false">
      <c r="C274" s="13"/>
    </row>
    <row r="275" customFormat="false" ht="15" hidden="false" customHeight="false" outlineLevel="0" collapsed="false">
      <c r="C275" s="13"/>
    </row>
    <row r="276" customFormat="false" ht="15" hidden="false" customHeight="false" outlineLevel="0" collapsed="false">
      <c r="C276" s="13"/>
    </row>
    <row r="277" customFormat="false" ht="15" hidden="false" customHeight="false" outlineLevel="0" collapsed="false">
      <c r="C277" s="13"/>
    </row>
    <row r="278" customFormat="false" ht="15" hidden="false" customHeight="false" outlineLevel="0" collapsed="false">
      <c r="C278" s="13"/>
    </row>
    <row r="279" customFormat="false" ht="15" hidden="false" customHeight="false" outlineLevel="0" collapsed="false">
      <c r="C279" s="13"/>
    </row>
    <row r="280" customFormat="false" ht="15" hidden="false" customHeight="false" outlineLevel="0" collapsed="false">
      <c r="C280" s="13"/>
    </row>
    <row r="281" customFormat="false" ht="15" hidden="false" customHeight="false" outlineLevel="0" collapsed="false">
      <c r="C281" s="13"/>
    </row>
    <row r="282" customFormat="false" ht="15" hidden="false" customHeight="false" outlineLevel="0" collapsed="false">
      <c r="C282" s="13"/>
    </row>
    <row r="283" customFormat="false" ht="15" hidden="false" customHeight="false" outlineLevel="0" collapsed="false">
      <c r="C283" s="13"/>
    </row>
    <row r="284" customFormat="false" ht="15" hidden="false" customHeight="false" outlineLevel="0" collapsed="false">
      <c r="C284" s="13"/>
    </row>
    <row r="285" customFormat="false" ht="15" hidden="false" customHeight="false" outlineLevel="0" collapsed="false">
      <c r="C285" s="13"/>
    </row>
    <row r="286" customFormat="false" ht="15" hidden="false" customHeight="false" outlineLevel="0" collapsed="false">
      <c r="C286" s="13"/>
    </row>
    <row r="287" customFormat="false" ht="15" hidden="false" customHeight="false" outlineLevel="0" collapsed="false">
      <c r="C287" s="13"/>
    </row>
    <row r="288" customFormat="false" ht="15" hidden="false" customHeight="false" outlineLevel="0" collapsed="false">
      <c r="C288" s="13"/>
    </row>
    <row r="289" customFormat="false" ht="15" hidden="false" customHeight="false" outlineLevel="0" collapsed="false">
      <c r="C289" s="13"/>
    </row>
    <row r="290" customFormat="false" ht="15" hidden="false" customHeight="false" outlineLevel="0" collapsed="false">
      <c r="C290" s="13"/>
    </row>
    <row r="291" customFormat="false" ht="15" hidden="false" customHeight="false" outlineLevel="0" collapsed="false">
      <c r="C291" s="13"/>
    </row>
    <row r="292" customFormat="false" ht="15" hidden="false" customHeight="false" outlineLevel="0" collapsed="false">
      <c r="C292" s="13"/>
    </row>
    <row r="293" customFormat="false" ht="15" hidden="false" customHeight="false" outlineLevel="0" collapsed="false">
      <c r="C293" s="13"/>
    </row>
    <row r="294" customFormat="false" ht="15" hidden="false" customHeight="false" outlineLevel="0" collapsed="false">
      <c r="C294" s="13"/>
    </row>
    <row r="295" customFormat="false" ht="15" hidden="false" customHeight="false" outlineLevel="0" collapsed="false">
      <c r="C295" s="13"/>
    </row>
    <row r="296" customFormat="false" ht="15" hidden="false" customHeight="false" outlineLevel="0" collapsed="false">
      <c r="C296" s="13"/>
    </row>
    <row r="297" customFormat="false" ht="15" hidden="false" customHeight="false" outlineLevel="0" collapsed="false">
      <c r="C297" s="13"/>
    </row>
    <row r="298" customFormat="false" ht="15" hidden="false" customHeight="false" outlineLevel="0" collapsed="false">
      <c r="C298" s="13"/>
    </row>
    <row r="299" customFormat="false" ht="15" hidden="false" customHeight="false" outlineLevel="0" collapsed="false">
      <c r="C299" s="13"/>
    </row>
    <row r="300" customFormat="false" ht="15" hidden="false" customHeight="false" outlineLevel="0" collapsed="false">
      <c r="C300" s="13"/>
    </row>
  </sheetData>
  <autoFilter ref="A1:I1"/>
  <dataValidations count="1">
    <dataValidation allowBlank="true" error="Wybierz wartość z listy rozwijanej." errorStyle="stop" errorTitle="Priorytet" operator="between" prompt="Wybierz z listy" promptTitle="Priorytet" showDropDown="false" showErrorMessage="true" showInputMessage="true" sqref="C2:C300" type="list">
      <formula1>"Wysoki,Średni,Niski"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45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0"/>
  </cols>
  <sheetData>
    <row r="1" customFormat="false" ht="31.5" hidden="false" customHeight="true" outlineLevel="0" collapsed="false">
      <c r="A1" s="7" t="s">
        <v>304</v>
      </c>
      <c r="B1" s="7" t="s">
        <v>305</v>
      </c>
    </row>
    <row r="2" customFormat="false" ht="15" hidden="false" customHeight="true" outlineLevel="0" collapsed="false">
      <c r="A2" s="14" t="s">
        <v>306</v>
      </c>
      <c r="B2" s="9" t="s">
        <v>307</v>
      </c>
      <c r="C2" s="9"/>
      <c r="D2" s="9"/>
      <c r="E2" s="9"/>
      <c r="F2" s="9"/>
    </row>
    <row r="3" customFormat="false" ht="30" hidden="false" customHeight="true" outlineLevel="0" collapsed="false">
      <c r="A3" s="14" t="s">
        <v>308</v>
      </c>
      <c r="B3" s="9" t="s">
        <v>309</v>
      </c>
      <c r="C3" s="9"/>
      <c r="D3" s="9"/>
      <c r="E3" s="9"/>
      <c r="F3" s="9"/>
    </row>
    <row r="4" customFormat="false" ht="15" hidden="false" customHeight="true" outlineLevel="0" collapsed="false">
      <c r="A4" s="14" t="s">
        <v>310</v>
      </c>
      <c r="B4" s="9" t="s">
        <v>311</v>
      </c>
      <c r="C4" s="9"/>
      <c r="D4" s="9"/>
      <c r="E4" s="9"/>
      <c r="F4" s="9"/>
    </row>
    <row r="5" customFormat="false" ht="15" hidden="false" customHeight="true" outlineLevel="0" collapsed="false">
      <c r="A5" s="14" t="s">
        <v>312</v>
      </c>
      <c r="B5" s="8" t="s">
        <v>313</v>
      </c>
    </row>
    <row r="6" customFormat="false" ht="15" hidden="false" customHeight="true" outlineLevel="0" collapsed="false">
      <c r="A6" s="14" t="s">
        <v>314</v>
      </c>
      <c r="B6" s="8" t="s">
        <v>3</v>
      </c>
    </row>
    <row r="7" customFormat="false" ht="15" hidden="false" customHeight="true" outlineLevel="0" collapsed="false">
      <c r="A7" s="14" t="s">
        <v>315</v>
      </c>
      <c r="B7" s="8" t="s">
        <v>148</v>
      </c>
    </row>
    <row r="10" customFormat="false" ht="31.5" hidden="false" customHeight="true" outlineLevel="0" collapsed="false">
      <c r="A10" s="7" t="s">
        <v>37</v>
      </c>
      <c r="B10" s="7" t="s">
        <v>316</v>
      </c>
      <c r="C10" s="7" t="s">
        <v>317</v>
      </c>
      <c r="D10" s="7" t="s">
        <v>318</v>
      </c>
      <c r="E10" s="7" t="s">
        <v>319</v>
      </c>
      <c r="F10" s="7" t="s">
        <v>320</v>
      </c>
    </row>
    <row r="11" customFormat="false" ht="41.25" hidden="false" customHeight="true" outlineLevel="0" collapsed="false">
      <c r="A11" s="8" t="n">
        <v>1</v>
      </c>
      <c r="B11" s="8" t="s">
        <v>321</v>
      </c>
      <c r="C11" s="8" t="s">
        <v>322</v>
      </c>
      <c r="D11" s="9" t="s">
        <v>323</v>
      </c>
      <c r="E11" s="8"/>
      <c r="F11" s="8" t="n">
        <v>2</v>
      </c>
    </row>
    <row r="12" customFormat="false" ht="15" hidden="false" customHeight="false" outlineLevel="0" collapsed="false">
      <c r="A12" s="5" t="n">
        <v>2</v>
      </c>
      <c r="B12" s="5" t="s">
        <v>324</v>
      </c>
      <c r="C12" s="5" t="s">
        <v>325</v>
      </c>
      <c r="D12" s="5" t="s">
        <v>323</v>
      </c>
      <c r="E12" s="5" t="s">
        <v>326</v>
      </c>
      <c r="F12" s="5" t="n">
        <v>2</v>
      </c>
    </row>
    <row r="13" customFormat="false" ht="15" hidden="false" customHeight="false" outlineLevel="0" collapsed="false">
      <c r="A13" s="5" t="n">
        <v>3</v>
      </c>
      <c r="B13" s="5" t="s">
        <v>327</v>
      </c>
      <c r="C13" s="5" t="s">
        <v>328</v>
      </c>
      <c r="D13" s="5" t="s">
        <v>323</v>
      </c>
      <c r="E13" s="5"/>
      <c r="F13" s="5" t="n">
        <v>2</v>
      </c>
    </row>
    <row r="14" customFormat="false" ht="15" hidden="false" customHeight="false" outlineLevel="0" collapsed="false">
      <c r="A14" s="5" t="n">
        <v>4</v>
      </c>
      <c r="B14" s="5" t="s">
        <v>329</v>
      </c>
      <c r="C14" s="5" t="s">
        <v>328</v>
      </c>
      <c r="D14" s="5" t="s">
        <v>323</v>
      </c>
      <c r="E14" s="5"/>
      <c r="F14" s="5" t="n">
        <v>2</v>
      </c>
    </row>
    <row r="15" customFormat="false" ht="28.35" hidden="false" customHeight="false" outlineLevel="0" collapsed="false">
      <c r="A15" s="5" t="n">
        <v>5</v>
      </c>
      <c r="B15" s="5" t="s">
        <v>330</v>
      </c>
      <c r="C15" s="5" t="s">
        <v>331</v>
      </c>
      <c r="D15" s="5" t="s">
        <v>332</v>
      </c>
      <c r="E15" s="5" t="s">
        <v>169</v>
      </c>
      <c r="F15" s="5" t="n">
        <v>2</v>
      </c>
    </row>
    <row r="16" customFormat="false" ht="15" hidden="false" customHeight="false" outlineLevel="0" collapsed="false">
      <c r="A16" s="5" t="n">
        <v>6</v>
      </c>
      <c r="B16" s="5" t="s">
        <v>333</v>
      </c>
      <c r="C16" s="5" t="s">
        <v>334</v>
      </c>
      <c r="D16" s="5" t="s">
        <v>335</v>
      </c>
      <c r="E16" s="5" t="s">
        <v>336</v>
      </c>
      <c r="F16" s="5" t="n">
        <v>2</v>
      </c>
    </row>
    <row r="17" customFormat="false" ht="15" hidden="false" customHeight="false" outlineLevel="0" collapsed="false">
      <c r="A17" s="5" t="n">
        <v>7</v>
      </c>
      <c r="B17" s="5" t="s">
        <v>337</v>
      </c>
      <c r="C17" s="5" t="s">
        <v>338</v>
      </c>
      <c r="D17" s="5" t="s">
        <v>323</v>
      </c>
      <c r="E17" s="5"/>
      <c r="F17" s="5" t="n">
        <v>2</v>
      </c>
    </row>
    <row r="18" customFormat="false" ht="15" hidden="false" customHeight="false" outlineLevel="0" collapsed="false">
      <c r="A18" s="5" t="n">
        <v>8</v>
      </c>
      <c r="B18" s="5" t="s">
        <v>339</v>
      </c>
      <c r="C18" s="5" t="s">
        <v>340</v>
      </c>
      <c r="D18" s="5" t="s">
        <v>323</v>
      </c>
      <c r="E18" s="5" t="s">
        <v>341</v>
      </c>
      <c r="F18" s="5" t="n">
        <v>2</v>
      </c>
    </row>
    <row r="19" customFormat="false" ht="15" hidden="false" customHeight="false" outlineLevel="0" collapsed="false">
      <c r="A19" s="5" t="n">
        <v>9</v>
      </c>
      <c r="B19" s="5" t="s">
        <v>342</v>
      </c>
      <c r="C19" s="5" t="s">
        <v>334</v>
      </c>
      <c r="D19" s="5" t="s">
        <v>323</v>
      </c>
      <c r="E19" s="5"/>
      <c r="F19" s="5" t="n">
        <v>2</v>
      </c>
    </row>
    <row r="20" customFormat="false" ht="15" hidden="false" customHeight="false" outlineLevel="0" collapsed="false">
      <c r="A20" s="5" t="n">
        <v>10</v>
      </c>
      <c r="B20" s="5" t="s">
        <v>343</v>
      </c>
      <c r="C20" s="5" t="s">
        <v>344</v>
      </c>
      <c r="D20" s="5" t="s">
        <v>335</v>
      </c>
      <c r="E20" s="5" t="s">
        <v>345</v>
      </c>
      <c r="F20" s="5" t="n">
        <v>2</v>
      </c>
    </row>
    <row r="21" customFormat="false" ht="28.35" hidden="false" customHeight="false" outlineLevel="0" collapsed="false">
      <c r="A21" s="5" t="n">
        <v>11</v>
      </c>
      <c r="B21" s="5" t="s">
        <v>346</v>
      </c>
      <c r="C21" s="5" t="s">
        <v>347</v>
      </c>
      <c r="D21" s="5" t="s">
        <v>332</v>
      </c>
      <c r="E21" s="5" t="s">
        <v>229</v>
      </c>
      <c r="F21" s="5" t="n">
        <v>2</v>
      </c>
    </row>
    <row r="22" customFormat="false" ht="28.35" hidden="false" customHeight="false" outlineLevel="0" collapsed="false">
      <c r="A22" s="5" t="n">
        <v>12</v>
      </c>
      <c r="B22" s="5" t="s">
        <v>348</v>
      </c>
      <c r="C22" s="5" t="s">
        <v>349</v>
      </c>
      <c r="D22" s="5" t="s">
        <v>332</v>
      </c>
      <c r="E22" s="5" t="s">
        <v>274</v>
      </c>
      <c r="F22" s="5" t="n">
        <v>2</v>
      </c>
    </row>
  </sheetData>
  <mergeCells count="3">
    <mergeCell ref="B2:F2"/>
    <mergeCell ref="B3:F3"/>
    <mergeCell ref="B4:F4"/>
  </mergeCells>
  <dataValidations count="1">
    <dataValidation allowBlank="true" error="Wybierz wartość z listy rozwijanej." errorStyle="stop" errorTitle="Ocena" operator="between" prompt="Wybierz z listy" promptTitle="Ocena" showDropDown="false" showErrorMessage="true" showInputMessage="false" sqref="D11:D200" type="list">
      <formula1>"OK,Kandydat na defekt,Pytanie"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28"/>
    <col collapsed="false" customWidth="true" hidden="false" outlineLevel="0" max="6" min="6" style="1" width="26"/>
    <col collapsed="false" customWidth="true" hidden="false" outlineLevel="0" max="7" min="7" style="1" width="22"/>
    <col collapsed="false" customWidth="true" hidden="false" outlineLevel="0" max="8" min="8" style="1" width="44"/>
    <col collapsed="false" customWidth="true" hidden="false" outlineLevel="0" max="9" min="9" style="1" width="34"/>
    <col collapsed="false" customWidth="true" hidden="false" outlineLevel="0" max="10" min="10" style="1" width="38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6" min="15" style="1" width="18"/>
    <col collapsed="false" customWidth="true" hidden="false" outlineLevel="0" max="17" min="17" style="1" width="32"/>
  </cols>
  <sheetData>
    <row r="1" customFormat="false" ht="31.5" hidden="false" customHeight="true" outlineLevel="0" collapsed="false">
      <c r="A1" s="10" t="s">
        <v>78</v>
      </c>
      <c r="B1" s="10" t="s">
        <v>350</v>
      </c>
      <c r="C1" s="10" t="s">
        <v>315</v>
      </c>
      <c r="D1" s="10" t="s">
        <v>351</v>
      </c>
      <c r="E1" s="10" t="s">
        <v>352</v>
      </c>
      <c r="F1" s="10" t="s">
        <v>353</v>
      </c>
      <c r="G1" s="10" t="s">
        <v>129</v>
      </c>
      <c r="H1" s="10" t="s">
        <v>354</v>
      </c>
      <c r="I1" s="10" t="s">
        <v>132</v>
      </c>
      <c r="J1" s="10" t="s">
        <v>133</v>
      </c>
      <c r="K1" s="10" t="s">
        <v>355</v>
      </c>
      <c r="L1" s="10" t="s">
        <v>80</v>
      </c>
      <c r="M1" s="10" t="s">
        <v>356</v>
      </c>
      <c r="N1" s="10" t="s">
        <v>134</v>
      </c>
      <c r="O1" s="10" t="s">
        <v>357</v>
      </c>
      <c r="P1" s="10" t="s">
        <v>358</v>
      </c>
      <c r="Q1" s="10" t="s">
        <v>81</v>
      </c>
    </row>
    <row r="2" customFormat="false" ht="41.25" hidden="false" customHeight="true" outlineLevel="0" collapsed="false">
      <c r="A2" s="11" t="s">
        <v>169</v>
      </c>
      <c r="B2" s="11" t="s">
        <v>359</v>
      </c>
      <c r="C2" s="11" t="s">
        <v>148</v>
      </c>
      <c r="D2" s="11" t="s">
        <v>3</v>
      </c>
      <c r="E2" s="11" t="s">
        <v>360</v>
      </c>
      <c r="F2" s="11" t="s">
        <v>361</v>
      </c>
      <c r="G2" s="11" t="s">
        <v>362</v>
      </c>
      <c r="H2" s="11" t="s">
        <v>363</v>
      </c>
      <c r="I2" s="11" t="s">
        <v>364</v>
      </c>
      <c r="J2" s="11" t="s">
        <v>365</v>
      </c>
      <c r="K2" s="11" t="s">
        <v>366</v>
      </c>
      <c r="L2" s="11" t="s">
        <v>85</v>
      </c>
      <c r="M2" s="11" t="s">
        <v>367</v>
      </c>
      <c r="N2" s="11" t="s">
        <v>368</v>
      </c>
      <c r="O2" s="11" t="s">
        <v>369</v>
      </c>
      <c r="P2" s="11" t="s">
        <v>370</v>
      </c>
      <c r="Q2" s="11" t="s">
        <v>86</v>
      </c>
    </row>
    <row r="3" customFormat="false" ht="122.35" hidden="false" customHeight="false" outlineLevel="0" collapsed="false">
      <c r="A3" s="5" t="s">
        <v>200</v>
      </c>
      <c r="B3" s="5" t="s">
        <v>371</v>
      </c>
      <c r="C3" s="5" t="s">
        <v>148</v>
      </c>
      <c r="D3" s="5" t="s">
        <v>3</v>
      </c>
      <c r="E3" s="5" t="s">
        <v>360</v>
      </c>
      <c r="F3" s="5" t="s">
        <v>361</v>
      </c>
      <c r="G3" s="5" t="s">
        <v>362</v>
      </c>
      <c r="H3" s="5" t="s">
        <v>372</v>
      </c>
      <c r="I3" s="5" t="s">
        <v>373</v>
      </c>
      <c r="J3" s="5" t="s">
        <v>374</v>
      </c>
      <c r="K3" s="5" t="s">
        <v>375</v>
      </c>
      <c r="L3" s="5" t="s">
        <v>97</v>
      </c>
      <c r="M3" s="5" t="s">
        <v>367</v>
      </c>
      <c r="N3" s="5" t="s">
        <v>368</v>
      </c>
      <c r="O3" s="5" t="s">
        <v>376</v>
      </c>
      <c r="P3" s="5"/>
      <c r="Q3" s="5"/>
    </row>
    <row r="4" customFormat="false" ht="122.35" hidden="false" customHeight="false" outlineLevel="0" collapsed="false">
      <c r="A4" s="5" t="s">
        <v>247</v>
      </c>
      <c r="B4" s="5" t="s">
        <v>377</v>
      </c>
      <c r="C4" s="5" t="s">
        <v>148</v>
      </c>
      <c r="D4" s="5" t="s">
        <v>3</v>
      </c>
      <c r="E4" s="5" t="s">
        <v>360</v>
      </c>
      <c r="F4" s="5" t="s">
        <v>361</v>
      </c>
      <c r="G4" s="5" t="s">
        <v>362</v>
      </c>
      <c r="H4" s="5" t="s">
        <v>378</v>
      </c>
      <c r="I4" s="5" t="s">
        <v>379</v>
      </c>
      <c r="J4" s="5" t="s">
        <v>380</v>
      </c>
      <c r="K4" s="5" t="s">
        <v>375</v>
      </c>
      <c r="L4" s="5" t="s">
        <v>97</v>
      </c>
      <c r="M4" s="5" t="s">
        <v>367</v>
      </c>
      <c r="N4" s="5" t="s">
        <v>368</v>
      </c>
      <c r="O4" s="5" t="s">
        <v>381</v>
      </c>
      <c r="P4" s="5"/>
      <c r="Q4" s="5"/>
    </row>
    <row r="5" customFormat="false" ht="122.35" hidden="false" customHeight="false" outlineLevel="0" collapsed="false">
      <c r="A5" s="5" t="s">
        <v>213</v>
      </c>
      <c r="B5" s="5" t="s">
        <v>382</v>
      </c>
      <c r="C5" s="5" t="s">
        <v>148</v>
      </c>
      <c r="D5" s="5" t="s">
        <v>3</v>
      </c>
      <c r="E5" s="5" t="s">
        <v>360</v>
      </c>
      <c r="F5" s="5" t="s">
        <v>361</v>
      </c>
      <c r="G5" s="5" t="s">
        <v>362</v>
      </c>
      <c r="H5" s="5" t="s">
        <v>383</v>
      </c>
      <c r="I5" s="5" t="s">
        <v>384</v>
      </c>
      <c r="J5" s="5" t="s">
        <v>385</v>
      </c>
      <c r="K5" s="5" t="s">
        <v>375</v>
      </c>
      <c r="L5" s="5" t="s">
        <v>97</v>
      </c>
      <c r="M5" s="5" t="s">
        <v>367</v>
      </c>
      <c r="N5" s="5" t="s">
        <v>368</v>
      </c>
      <c r="O5" s="5" t="s">
        <v>386</v>
      </c>
      <c r="P5" s="5"/>
      <c r="Q5" s="5"/>
    </row>
    <row r="6" customFormat="false" ht="122.35" hidden="false" customHeight="false" outlineLevel="0" collapsed="false">
      <c r="A6" s="5" t="s">
        <v>229</v>
      </c>
      <c r="B6" s="5" t="s">
        <v>387</v>
      </c>
      <c r="C6" s="5" t="s">
        <v>148</v>
      </c>
      <c r="D6" s="5" t="s">
        <v>3</v>
      </c>
      <c r="E6" s="5" t="s">
        <v>360</v>
      </c>
      <c r="F6" s="5" t="s">
        <v>361</v>
      </c>
      <c r="G6" s="5" t="s">
        <v>362</v>
      </c>
      <c r="H6" s="5" t="s">
        <v>388</v>
      </c>
      <c r="I6" s="5" t="s">
        <v>389</v>
      </c>
      <c r="J6" s="5" t="s">
        <v>390</v>
      </c>
      <c r="K6" s="5" t="s">
        <v>366</v>
      </c>
      <c r="L6" s="5" t="s">
        <v>85</v>
      </c>
      <c r="M6" s="5" t="s">
        <v>367</v>
      </c>
      <c r="N6" s="5" t="s">
        <v>368</v>
      </c>
      <c r="O6" s="5" t="s">
        <v>391</v>
      </c>
      <c r="P6" s="5"/>
      <c r="Q6" s="5"/>
    </row>
    <row r="7" customFormat="false" ht="68.65" hidden="false" customHeight="false" outlineLevel="0" collapsed="false">
      <c r="A7" s="5" t="s">
        <v>267</v>
      </c>
      <c r="B7" s="5" t="s">
        <v>392</v>
      </c>
      <c r="C7" s="5" t="s">
        <v>148</v>
      </c>
      <c r="D7" s="5" t="s">
        <v>3</v>
      </c>
      <c r="E7" s="5" t="s">
        <v>360</v>
      </c>
      <c r="F7" s="5" t="s">
        <v>361</v>
      </c>
      <c r="G7" s="5" t="s">
        <v>362</v>
      </c>
      <c r="H7" s="5" t="s">
        <v>393</v>
      </c>
      <c r="I7" s="5" t="s">
        <v>394</v>
      </c>
      <c r="J7" s="5" t="s">
        <v>395</v>
      </c>
      <c r="K7" s="5" t="s">
        <v>396</v>
      </c>
      <c r="L7" s="5" t="s">
        <v>104</v>
      </c>
      <c r="M7" s="5" t="s">
        <v>367</v>
      </c>
      <c r="N7" s="5" t="s">
        <v>368</v>
      </c>
      <c r="O7" s="5" t="s">
        <v>397</v>
      </c>
      <c r="P7" s="5"/>
      <c r="Q7" s="5"/>
    </row>
    <row r="8" customFormat="false" ht="122.35" hidden="false" customHeight="false" outlineLevel="0" collapsed="false">
      <c r="A8" s="5" t="s">
        <v>274</v>
      </c>
      <c r="B8" s="5" t="s">
        <v>398</v>
      </c>
      <c r="C8" s="5" t="s">
        <v>148</v>
      </c>
      <c r="D8" s="5" t="s">
        <v>3</v>
      </c>
      <c r="E8" s="5" t="s">
        <v>360</v>
      </c>
      <c r="F8" s="5" t="s">
        <v>361</v>
      </c>
      <c r="G8" s="5" t="s">
        <v>362</v>
      </c>
      <c r="H8" s="5" t="s">
        <v>399</v>
      </c>
      <c r="I8" s="5" t="s">
        <v>400</v>
      </c>
      <c r="J8" s="5" t="s">
        <v>401</v>
      </c>
      <c r="K8" s="5" t="s">
        <v>396</v>
      </c>
      <c r="L8" s="5" t="s">
        <v>85</v>
      </c>
      <c r="M8" s="5" t="s">
        <v>367</v>
      </c>
      <c r="N8" s="5" t="s">
        <v>368</v>
      </c>
      <c r="O8" s="5" t="s">
        <v>402</v>
      </c>
      <c r="P8" s="5"/>
      <c r="Q8" s="5"/>
    </row>
  </sheetData>
  <autoFilter ref="A1:Q1"/>
  <dataValidations count="4">
    <dataValidation allowBlank="true" error="Wybierz wartość z listy rozwijanej." errorStyle="stop" errorTitle="Ważność" operator="between" prompt="Wybierz z listy" promptTitle="Ważność" showDropDown="false" showErrorMessage="true" showInputMessage="true" sqref="K2:K300" type="list">
      <formula1>"Krytyczna,Wysoka,Średnia,Niska"</formula1>
      <formula2>0</formula2>
    </dataValidation>
    <dataValidation allowBlank="true" error="Wybierz wartość z listy rozwijanej." errorStyle="stop" errorTitle="Priorytet" operator="between" prompt="Wybierz z listy" promptTitle="Priorytet" showDropDown="false" showErrorMessage="true" showInputMessage="true" sqref="L2:L300" type="list">
      <formula1>"Wysoki,Średni,Niski"</formula1>
      <formula2>0</formula2>
    </dataValidation>
    <dataValidation allowBlank="true" error="Wybierz wartość z listy rozwijanej." errorStyle="stop" errorTitle="Powtarzalność" operator="between" prompt="Wybierz z listy" promptTitle="Powtarzalność" showDropDown="false" showErrorMessage="true" showInputMessage="true" sqref="M2:M300" type="list">
      <formula1>"Zawsze,Czasami,Jednorazowo"</formula1>
      <formula2>0</formula2>
    </dataValidation>
    <dataValidation allowBlank="true" error="Wybierz wartość z listy rozwijanej." errorStyle="stop" errorTitle="Status" operator="between" prompt="Wybierz z listy" promptTitle="Status" showDropDown="false" showErrorMessage="true" showInputMessage="true" sqref="N2:N300" type="list">
      <formula1>"Nowy,Otwarty,W naprawie,Naprawiony,Do retestu,Zamknięty,Odrzucony,Odroczony,Ponownie otwarty"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60"/>
    <col collapsed="false" customWidth="true" hidden="false" outlineLevel="0" max="4" min="4" style="1" width="14"/>
    <col collapsed="false" customWidth="true" hidden="false" outlineLevel="0" max="5" min="5" style="1" width="52"/>
    <col collapsed="false" customWidth="true" hidden="false" outlineLevel="0" max="6" min="6" style="1" width="11"/>
  </cols>
  <sheetData>
    <row r="1" customFormat="false" ht="31.5" hidden="false" customHeight="true" outlineLevel="0" collapsed="false">
      <c r="A1" s="10" t="s">
        <v>37</v>
      </c>
      <c r="B1" s="10" t="s">
        <v>403</v>
      </c>
      <c r="C1" s="10" t="s">
        <v>404</v>
      </c>
      <c r="D1" s="10" t="s">
        <v>405</v>
      </c>
      <c r="E1" s="10" t="s">
        <v>406</v>
      </c>
      <c r="F1" s="10" t="s">
        <v>135</v>
      </c>
    </row>
    <row r="2" customFormat="false" ht="27.75" hidden="false" customHeight="true" outlineLevel="0" collapsed="false">
      <c r="A2" s="11" t="s">
        <v>407</v>
      </c>
      <c r="B2" s="11" t="s">
        <v>408</v>
      </c>
      <c r="C2" s="11" t="s">
        <v>409</v>
      </c>
      <c r="D2" s="11" t="s">
        <v>410</v>
      </c>
      <c r="E2" s="11" t="s">
        <v>411</v>
      </c>
      <c r="F2" s="11" t="s">
        <v>267</v>
      </c>
    </row>
    <row r="3" customFormat="false" ht="15" hidden="false" customHeight="false" outlineLevel="0" collapsed="false">
      <c r="A3" s="5" t="s">
        <v>412</v>
      </c>
      <c r="B3" s="5" t="s">
        <v>413</v>
      </c>
      <c r="C3" s="5" t="s">
        <v>414</v>
      </c>
      <c r="D3" s="5" t="s">
        <v>415</v>
      </c>
      <c r="E3" s="5" t="s">
        <v>416</v>
      </c>
      <c r="F3" s="5"/>
    </row>
    <row r="4" customFormat="false" ht="15" hidden="false" customHeight="false" outlineLevel="0" collapsed="false">
      <c r="A4" s="5" t="s">
        <v>417</v>
      </c>
      <c r="B4" s="5" t="s">
        <v>413</v>
      </c>
      <c r="C4" s="5" t="s">
        <v>418</v>
      </c>
      <c r="D4" s="5" t="s">
        <v>415</v>
      </c>
      <c r="E4" s="5" t="s">
        <v>419</v>
      </c>
      <c r="F4" s="5"/>
    </row>
    <row r="5" customFormat="false" ht="15" hidden="false" customHeight="false" outlineLevel="0" collapsed="false">
      <c r="A5" s="5" t="s">
        <v>420</v>
      </c>
      <c r="B5" s="5" t="s">
        <v>421</v>
      </c>
      <c r="C5" s="5" t="s">
        <v>422</v>
      </c>
      <c r="D5" s="5" t="s">
        <v>415</v>
      </c>
      <c r="E5" s="5"/>
      <c r="F5" s="5"/>
    </row>
    <row r="6" customFormat="false" ht="15" hidden="false" customHeight="false" outlineLevel="0" collapsed="false">
      <c r="A6" s="5" t="s">
        <v>423</v>
      </c>
      <c r="B6" s="5" t="s">
        <v>421</v>
      </c>
      <c r="C6" s="5" t="s">
        <v>424</v>
      </c>
      <c r="D6" s="5" t="s">
        <v>410</v>
      </c>
      <c r="E6" s="5" t="s">
        <v>425</v>
      </c>
      <c r="F6" s="5" t="s">
        <v>274</v>
      </c>
    </row>
    <row r="7" customFormat="false" ht="15" hidden="false" customHeight="false" outlineLevel="0" collapsed="false">
      <c r="A7" s="5" t="s">
        <v>426</v>
      </c>
      <c r="B7" s="5" t="s">
        <v>421</v>
      </c>
      <c r="C7" s="5" t="s">
        <v>427</v>
      </c>
      <c r="D7" s="5" t="s">
        <v>415</v>
      </c>
      <c r="E7" s="5" t="s">
        <v>428</v>
      </c>
      <c r="F7" s="5"/>
    </row>
    <row r="8" customFormat="false" ht="15" hidden="false" customHeight="false" outlineLevel="0" collapsed="false">
      <c r="A8" s="5" t="s">
        <v>429</v>
      </c>
      <c r="B8" s="5" t="s">
        <v>421</v>
      </c>
      <c r="C8" s="5" t="s">
        <v>430</v>
      </c>
      <c r="D8" s="5" t="s">
        <v>415</v>
      </c>
      <c r="E8" s="5"/>
      <c r="F8" s="5"/>
    </row>
    <row r="9" customFormat="false" ht="28.35" hidden="false" customHeight="false" outlineLevel="0" collapsed="false">
      <c r="A9" s="5" t="s">
        <v>431</v>
      </c>
      <c r="B9" s="5" t="s">
        <v>413</v>
      </c>
      <c r="C9" s="5" t="s">
        <v>432</v>
      </c>
      <c r="D9" s="5" t="s">
        <v>415</v>
      </c>
      <c r="E9" s="5" t="s">
        <v>433</v>
      </c>
      <c r="F9" s="5"/>
    </row>
    <row r="10" customFormat="false" ht="28.35" hidden="false" customHeight="false" outlineLevel="0" collapsed="false">
      <c r="A10" s="5" t="s">
        <v>434</v>
      </c>
      <c r="B10" s="5" t="s">
        <v>435</v>
      </c>
      <c r="C10" s="5" t="s">
        <v>436</v>
      </c>
      <c r="D10" s="5" t="s">
        <v>410</v>
      </c>
      <c r="E10" s="5" t="s">
        <v>437</v>
      </c>
      <c r="F10" s="5"/>
    </row>
    <row r="11" customFormat="false" ht="15" hidden="false" customHeight="false" outlineLevel="0" collapsed="false">
      <c r="A11" s="5" t="s">
        <v>438</v>
      </c>
      <c r="B11" s="5" t="s">
        <v>435</v>
      </c>
      <c r="C11" s="5" t="s">
        <v>439</v>
      </c>
      <c r="D11" s="5" t="s">
        <v>415</v>
      </c>
      <c r="E11" s="5" t="s">
        <v>440</v>
      </c>
      <c r="F11" s="5"/>
    </row>
    <row r="12" customFormat="false" ht="15" hidden="false" customHeight="false" outlineLevel="0" collapsed="false">
      <c r="A12" s="5" t="s">
        <v>441</v>
      </c>
      <c r="B12" s="5" t="s">
        <v>442</v>
      </c>
      <c r="C12" s="5" t="s">
        <v>443</v>
      </c>
      <c r="D12" s="5" t="s">
        <v>415</v>
      </c>
      <c r="E12" s="5" t="s">
        <v>444</v>
      </c>
      <c r="F12" s="5"/>
    </row>
    <row r="13" customFormat="false" ht="41.75" hidden="false" customHeight="false" outlineLevel="0" collapsed="false">
      <c r="A13" s="5" t="s">
        <v>445</v>
      </c>
      <c r="B13" s="5" t="s">
        <v>435</v>
      </c>
      <c r="C13" s="5" t="s">
        <v>446</v>
      </c>
      <c r="D13" s="5" t="s">
        <v>410</v>
      </c>
      <c r="E13" s="5" t="s">
        <v>447</v>
      </c>
      <c r="F13" s="5"/>
    </row>
  </sheetData>
  <autoFilter ref="A1:F1"/>
  <dataValidations count="1">
    <dataValidation allowBlank="true" error="Wybierz wartość z listy rozwijanej." errorStyle="stop" errorTitle="Wynik" operator="between" prompt="Wybierz z listy" promptTitle="Wynik" showDropDown="false" showErrorMessage="true" showInputMessage="true" sqref="D2:D300" type="list">
      <formula1>"Tak,Nie,Nie dotyczy,Nie sprawdzono"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80"/>
  </cols>
  <sheetData>
    <row r="1" customFormat="false" ht="31.5" hidden="false" customHeight="true" outlineLevel="0" collapsed="false">
      <c r="A1" s="10" t="s">
        <v>448</v>
      </c>
      <c r="B1" s="10" t="s">
        <v>449</v>
      </c>
      <c r="C1" s="10" t="s">
        <v>450</v>
      </c>
    </row>
    <row r="2" customFormat="false" ht="15" hidden="false" customHeight="true" outlineLevel="0" collapsed="false">
      <c r="A2" s="15" t="s">
        <v>451</v>
      </c>
      <c r="B2" s="16"/>
      <c r="C2" s="16"/>
    </row>
    <row r="3" customFormat="false" ht="15" hidden="false" customHeight="true" outlineLevel="0" collapsed="false">
      <c r="A3" s="17" t="s">
        <v>452</v>
      </c>
      <c r="B3" s="11" t="s">
        <v>453</v>
      </c>
      <c r="C3" s="11"/>
    </row>
    <row r="4" customFormat="false" ht="15" hidden="false" customHeight="true" outlineLevel="0" collapsed="false">
      <c r="A4" s="17" t="s">
        <v>454</v>
      </c>
      <c r="B4" s="11" t="s">
        <v>455</v>
      </c>
      <c r="C4" s="11"/>
    </row>
    <row r="5" customFormat="false" ht="15" hidden="false" customHeight="true" outlineLevel="0" collapsed="false">
      <c r="A5" s="17" t="s">
        <v>456</v>
      </c>
      <c r="B5" s="11" t="s">
        <v>148</v>
      </c>
      <c r="C5" s="11"/>
    </row>
    <row r="6" customFormat="false" ht="15" hidden="false" customHeight="true" outlineLevel="0" collapsed="false">
      <c r="A6" s="17" t="s">
        <v>457</v>
      </c>
      <c r="B6" s="11" t="s">
        <v>3</v>
      </c>
      <c r="C6" s="11"/>
    </row>
    <row r="7" customFormat="false" ht="15" hidden="false" customHeight="true" outlineLevel="0" collapsed="false">
      <c r="A7" s="15" t="s">
        <v>458</v>
      </c>
      <c r="B7" s="16"/>
      <c r="C7" s="16"/>
    </row>
    <row r="8" customFormat="false" ht="15" hidden="false" customHeight="true" outlineLevel="0" collapsed="false">
      <c r="A8" s="17" t="s">
        <v>459</v>
      </c>
      <c r="B8" s="11" t="n">
        <f aca="false">COUNTA('Przypadki testowe'!A2:A300)</f>
        <v>30</v>
      </c>
      <c r="C8" s="11"/>
    </row>
    <row r="9" customFormat="false" ht="15" hidden="false" customHeight="true" outlineLevel="0" collapsed="false">
      <c r="A9" s="17" t="s">
        <v>279</v>
      </c>
      <c r="B9" s="11" t="n">
        <f aca="false">COUNTIF('Przypadki testowe'!K2:K300,"Zaliczony")</f>
        <v>23</v>
      </c>
      <c r="C9" s="11"/>
    </row>
    <row r="10" customFormat="false" ht="15" hidden="false" customHeight="true" outlineLevel="0" collapsed="false">
      <c r="A10" s="17" t="s">
        <v>280</v>
      </c>
      <c r="B10" s="11" t="n">
        <f aca="false">COUNTIF('Przypadki testowe'!K2:K300,"Niezaliczony")</f>
        <v>7</v>
      </c>
      <c r="C10" s="11"/>
    </row>
    <row r="11" customFormat="false" ht="15" hidden="false" customHeight="true" outlineLevel="0" collapsed="false">
      <c r="A11" s="17" t="s">
        <v>460</v>
      </c>
      <c r="B11" s="11" t="n">
        <f aca="false">COUNTIF('Przypadki testowe'!K2:K300,"Zablokowany")</f>
        <v>0</v>
      </c>
      <c r="C11" s="11"/>
    </row>
    <row r="12" customFormat="false" ht="15" hidden="false" customHeight="true" outlineLevel="0" collapsed="false">
      <c r="A12" s="17" t="s">
        <v>461</v>
      </c>
      <c r="B12" s="11" t="n">
        <f aca="false">COUNTIF('Przypadki testowe'!K2:K300,"Pominięty")</f>
        <v>0</v>
      </c>
      <c r="C12" s="11"/>
    </row>
    <row r="13" customFormat="false" ht="15" hidden="false" customHeight="true" outlineLevel="0" collapsed="false">
      <c r="A13" s="17" t="s">
        <v>462</v>
      </c>
      <c r="B13" s="11" t="n">
        <f aca="false">COUNTIF('Przypadki testowe'!K2:K300,"Nie wykonano")</f>
        <v>0</v>
      </c>
      <c r="C13" s="11"/>
    </row>
    <row r="14" customFormat="false" ht="15" hidden="false" customHeight="true" outlineLevel="0" collapsed="false">
      <c r="A14" s="17" t="s">
        <v>463</v>
      </c>
      <c r="B14" s="18" t="n">
        <f aca="false">IFERROR((B9+B10)/B8,0)</f>
        <v>1</v>
      </c>
      <c r="C14" s="11"/>
    </row>
    <row r="15" customFormat="false" ht="15" hidden="false" customHeight="true" outlineLevel="0" collapsed="false">
      <c r="A15" s="17" t="s">
        <v>464</v>
      </c>
      <c r="B15" s="18" t="n">
        <f aca="false">IFERROR(B9/(B9+B10),0)</f>
        <v>0.766666666666667</v>
      </c>
      <c r="C15" s="11"/>
    </row>
    <row r="16" customFormat="false" ht="15" hidden="false" customHeight="true" outlineLevel="0" collapsed="false">
      <c r="A16" s="15" t="s">
        <v>465</v>
      </c>
      <c r="B16" s="16"/>
      <c r="C16" s="16"/>
    </row>
    <row r="17" customFormat="false" ht="15" hidden="false" customHeight="true" outlineLevel="0" collapsed="false">
      <c r="A17" s="17" t="s">
        <v>466</v>
      </c>
      <c r="B17" s="11" t="n">
        <f aca="false">COUNTA('Macierz śledzenia'!A2:A300)</f>
        <v>15</v>
      </c>
      <c r="C17" s="11"/>
    </row>
    <row r="18" customFormat="false" ht="15" hidden="false" customHeight="true" outlineLevel="0" collapsed="false">
      <c r="A18" s="17" t="s">
        <v>467</v>
      </c>
      <c r="B18" s="11" t="n">
        <f aca="false">COUNTIF('Macierz śledzenia'!H2:H300,"Pokryte")</f>
        <v>15</v>
      </c>
      <c r="C18" s="11"/>
    </row>
    <row r="19" customFormat="false" ht="15" hidden="false" customHeight="true" outlineLevel="0" collapsed="false">
      <c r="A19" s="17" t="s">
        <v>468</v>
      </c>
      <c r="B19" s="18" t="n">
        <f aca="false">IFERROR(B18/B17,0)</f>
        <v>1</v>
      </c>
      <c r="C19" s="11"/>
    </row>
    <row r="20" customFormat="false" ht="15" hidden="false" customHeight="true" outlineLevel="0" collapsed="false">
      <c r="A20" s="15" t="s">
        <v>469</v>
      </c>
      <c r="B20" s="16"/>
      <c r="C20" s="16"/>
    </row>
    <row r="21" customFormat="false" ht="15" hidden="false" customHeight="true" outlineLevel="0" collapsed="false">
      <c r="A21" s="17" t="s">
        <v>470</v>
      </c>
      <c r="B21" s="11" t="n">
        <f aca="false">COUNTA('Lista kontrolna'!A2:A300)</f>
        <v>12</v>
      </c>
      <c r="C21" s="11"/>
    </row>
    <row r="22" customFormat="false" ht="15" hidden="false" customHeight="true" outlineLevel="0" collapsed="false">
      <c r="A22" s="17" t="s">
        <v>471</v>
      </c>
      <c r="B22" s="11" t="n">
        <f aca="false">COUNTIF('Lista kontrolna'!D2:D300,"Tak")</f>
        <v>8</v>
      </c>
      <c r="C22" s="11"/>
    </row>
    <row r="23" customFormat="false" ht="15" hidden="false" customHeight="true" outlineLevel="0" collapsed="false">
      <c r="A23" s="17" t="s">
        <v>472</v>
      </c>
      <c r="B23" s="11" t="n">
        <f aca="false">COUNTIF('Lista kontrolna'!D2:D300,"Nie")</f>
        <v>4</v>
      </c>
      <c r="C23" s="11"/>
    </row>
    <row r="24" customFormat="false" ht="15" hidden="false" customHeight="true" outlineLevel="0" collapsed="false">
      <c r="A24" s="17" t="s">
        <v>473</v>
      </c>
      <c r="B24" s="11" t="n">
        <f aca="false">COUNTIF('Lista kontrolna'!D2:D300,"Nie dotyczy")+COUNTIF('Lista kontrolna'!D2:D300,"Nie sprawdzono")</f>
        <v>0</v>
      </c>
      <c r="C24" s="11"/>
    </row>
    <row r="25" customFormat="false" ht="15" hidden="false" customHeight="true" outlineLevel="0" collapsed="false">
      <c r="A25" s="15" t="s">
        <v>474</v>
      </c>
      <c r="B25" s="16"/>
      <c r="C25" s="16"/>
    </row>
    <row r="26" customFormat="false" ht="15" hidden="false" customHeight="true" outlineLevel="0" collapsed="false">
      <c r="A26" s="17" t="s">
        <v>475</v>
      </c>
      <c r="B26" s="11" t="n">
        <f aca="false">COUNTA('Raporty defektów'!A2:A300)</f>
        <v>7</v>
      </c>
      <c r="C26" s="11"/>
    </row>
    <row r="27" customFormat="false" ht="15" hidden="false" customHeight="true" outlineLevel="0" collapsed="false">
      <c r="A27" s="17" t="s">
        <v>476</v>
      </c>
      <c r="B27" s="11" t="n">
        <f aca="false">COUNTIF('Raporty defektów'!K2:K300,"Krytyczna")</f>
        <v>0</v>
      </c>
      <c r="C27" s="11"/>
    </row>
    <row r="28" customFormat="false" ht="15" hidden="false" customHeight="true" outlineLevel="0" collapsed="false">
      <c r="A28" s="17" t="s">
        <v>477</v>
      </c>
      <c r="B28" s="11" t="n">
        <f aca="false">COUNTIF('Raporty defektów'!K2:K300,"Wysoka")</f>
        <v>3</v>
      </c>
      <c r="C28" s="11"/>
    </row>
    <row r="29" customFormat="false" ht="15" hidden="false" customHeight="true" outlineLevel="0" collapsed="false">
      <c r="A29" s="17" t="s">
        <v>478</v>
      </c>
      <c r="B29" s="11" t="n">
        <f aca="false">COUNTIF('Raporty defektów'!K2:K300,"Średnia")</f>
        <v>2</v>
      </c>
      <c r="C29" s="11"/>
    </row>
    <row r="30" customFormat="false" ht="15" hidden="false" customHeight="true" outlineLevel="0" collapsed="false">
      <c r="A30" s="17" t="s">
        <v>479</v>
      </c>
      <c r="B30" s="11" t="n">
        <f aca="false">COUNTIF('Raporty defektów'!K2:K300,"Niska")</f>
        <v>2</v>
      </c>
      <c r="C30" s="11"/>
    </row>
    <row r="31" customFormat="false" ht="15" hidden="false" customHeight="true" outlineLevel="0" collapsed="false">
      <c r="A31" s="17" t="s">
        <v>480</v>
      </c>
      <c r="B31" s="11" t="n">
        <f aca="false">B26-COUNTIF('Raporty defektów'!N2:N300,"Zamknięty")-COUNTIF('Raporty defektów'!N2:N300,"Odrzucony")</f>
        <v>7</v>
      </c>
      <c r="C31" s="11"/>
    </row>
    <row r="32" customFormat="false" ht="15" hidden="false" customHeight="true" outlineLevel="0" collapsed="false">
      <c r="A32" s="15" t="s">
        <v>481</v>
      </c>
      <c r="B32" s="16"/>
      <c r="C32" s="16"/>
    </row>
    <row r="33" customFormat="false" ht="15" hidden="false" customHeight="true" outlineLevel="0" collapsed="false">
      <c r="A33" s="17" t="s">
        <v>482</v>
      </c>
      <c r="B33" s="11"/>
      <c r="C33" s="11" t="s">
        <v>483</v>
      </c>
    </row>
    <row r="34" customFormat="false" ht="15" hidden="false" customHeight="true" outlineLevel="0" collapsed="false">
      <c r="A34" s="17" t="s">
        <v>484</v>
      </c>
      <c r="B34" s="11"/>
      <c r="C34" s="11" t="s">
        <v>485</v>
      </c>
    </row>
    <row r="35" customFormat="false" ht="15" hidden="false" customHeight="true" outlineLevel="0" collapsed="false">
      <c r="A35" s="17" t="s">
        <v>486</v>
      </c>
      <c r="B35" s="11" t="s">
        <v>487</v>
      </c>
      <c r="C35" s="11" t="s">
        <v>488</v>
      </c>
    </row>
    <row r="36" customFormat="false" ht="15" hidden="false" customHeight="true" outlineLevel="0" collapsed="false">
      <c r="A36" s="17" t="s">
        <v>489</v>
      </c>
      <c r="B36" s="11"/>
      <c r="C36" s="11" t="s">
        <v>490</v>
      </c>
    </row>
    <row r="37" customFormat="false" ht="15" hidden="false" customHeight="true" outlineLevel="0" collapsed="false">
      <c r="A37" s="17" t="s">
        <v>491</v>
      </c>
      <c r="B37" s="11"/>
      <c r="C37" s="11" t="s">
        <v>492</v>
      </c>
    </row>
  </sheetData>
  <autoFilter ref="A1:C1"/>
  <dataValidations count="1">
    <dataValidation allowBlank="true" error="Wybierz wartość z listy rozwijanej." errorStyle="stop" errorTitle="Kryteria wyjścia" operator="between" prompt="Wybierz z listy" promptTitle="Kryteria wyjścia" showDropDown="false" showErrorMessage="true" showInputMessage="true" sqref="B35" type="list">
      <formula1>"Tak,Nie,Częściowo"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2026-09-27T06:27:38Z</dcterms:created>
  <dc:creator>openpyxl</dc:creator>
  <dc:description/>
  <dc:language>en-US</dc:language>
  <cp:lastModifiedBy/>
  <dcterms:modified xsi:type="dcterms:W3CDTF">2026-10-06T21:59:23Z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